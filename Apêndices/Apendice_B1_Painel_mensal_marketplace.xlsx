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ia-me" sheetId="1" state="visible" r:id="rId3"/>
    <sheet name="Painel" sheetId="2" state="visible" r:id="rId4"/>
    <sheet name="Gráfico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<sst xmlns="http://schemas.openxmlformats.org/spreadsheetml/2006/main" count="49" uniqueCount="49">
  <si>
    <t xml:space="preserve">Apêndice B1 — Painel mensal do marketplace</t>
  </si>
  <si>
    <t xml:space="preserve">Grupo Meridiano · Marketplace e e-commerce · jan/2025 a ago/2026</t>
  </si>
  <si>
    <t xml:space="preserve">O que é</t>
  </si>
  <si>
    <t xml:space="preserve">Indicadores mensais do marketplace, calculados a partir de uma extração amostral de pedidos.</t>
  </si>
  <si>
    <t xml:space="preserve">Os volumes da empresa (pedidos e GMV) são a amostra multiplicada pelo fator de escala da aba "Painel". Taxas e notas são calculadas diretamente na amostra.</t>
  </si>
  <si>
    <t xml:space="preserve">Definições</t>
  </si>
  <si>
    <t xml:space="preserve">Pedidos: pedidos realizados no mês (data da compra), de todos os status.</t>
  </si>
  <si>
    <t xml:space="preserve">GMV: soma do valor dos itens vendidos, sem frete, em R$.</t>
  </si>
  <si>
    <t xml:space="preserve">Ticket médio: GMV ÷ pedidos.</t>
  </si>
  <si>
    <t xml:space="preserve">% entregas com atraso: pedidos entregues depois da data prometida ÷ pedidos entregues.</t>
  </si>
  <si>
    <t xml:space="preserve">Nota média e % notas 1–2: avaliação do cliente após a compra (escala de 1 a 5), por mês da compra.</t>
  </si>
  <si>
    <t xml:space="preserve">% pedidos de clientes recorrentes: pedidos de clientes que já haviam comprado antes ÷ pedidos do mês.</t>
  </si>
  <si>
    <t xml:space="preserve">Fonte</t>
  </si>
  <si>
    <t xml:space="preserve">Dados adaptados da base pública da Olist (Brazilian E-Commerce Public Dataset, github.com/olist/work-at-olist-data, licença MIT). Valores ajustados para fins educacionais.</t>
  </si>
  <si>
    <t xml:space="preserve">Data de extração: 30/09/2026.</t>
  </si>
  <si>
    <t xml:space="preserve">Fator de escala (empresa ÷ amostra)</t>
  </si>
  <si>
    <t xml:space="preserve">Mês</t>
  </si>
  <si>
    <t xml:space="preserve">Pedidos (amostra)</t>
  </si>
  <si>
    <t xml:space="preserve">GMV amostra (R$)</t>
  </si>
  <si>
    <t xml:space="preserve">Pedidos (empresa)</t>
  </si>
  <si>
    <t xml:space="preserve">GMV empresa (R$ mi)</t>
  </si>
  <si>
    <t xml:space="preserve">Ticket médio (R$)</t>
  </si>
  <si>
    <t xml:space="preserve">% entregas com atraso</t>
  </si>
  <si>
    <t xml:space="preserve">Nota média (1–5)</t>
  </si>
  <si>
    <t xml:space="preserve">% notas 1–2</t>
  </si>
  <si>
    <t xml:space="preserve">% pedidos de clientes recorrentes</t>
  </si>
  <si>
    <t xml:space="preserve">jan/25</t>
  </si>
  <si>
    <t xml:space="preserve">fev/25</t>
  </si>
  <si>
    <t xml:space="preserve">mar/25</t>
  </si>
  <si>
    <t xml:space="preserve">abr/25</t>
  </si>
  <si>
    <t xml:space="preserve">mai/25</t>
  </si>
  <si>
    <t xml:space="preserve">jun/25</t>
  </si>
  <si>
    <t xml:space="preserve">jul/25</t>
  </si>
  <si>
    <t xml:space="preserve">ago/25</t>
  </si>
  <si>
    <t xml:space="preserve">set/25</t>
  </si>
  <si>
    <t xml:space="preserve">out/25</t>
  </si>
  <si>
    <t xml:space="preserve">nov/25</t>
  </si>
  <si>
    <t xml:space="preserve">dez/25</t>
  </si>
  <si>
    <t xml:space="preserve">jan/26</t>
  </si>
  <si>
    <t xml:space="preserve">fev/26</t>
  </si>
  <si>
    <t xml:space="preserve">mar/26</t>
  </si>
  <si>
    <t xml:space="preserve">abr/26</t>
  </si>
  <si>
    <t xml:space="preserve">mai/26</t>
  </si>
  <si>
    <t xml:space="preserve">jun/26</t>
  </si>
  <si>
    <t xml:space="preserve">jul/26</t>
  </si>
  <si>
    <t xml:space="preserve">ago/26</t>
  </si>
  <si>
    <t xml:space="preserve">Total</t>
  </si>
  <si>
    <t xml:space="preserve">Azul: valores calculados na extração amostral. Preto: fórmulas.</t>
  </si>
  <si>
    <t xml:space="preserve">Totais de taxas não são exibidos porque médias simples de meses distorcem o resultado.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</si>
</sst>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"/>
    <numFmt numFmtId="166" formatCode="#,##0"/>
    <numFmt numFmtId="167" formatCode="#,##0.0"/>
    <numFmt numFmtId="168" formatCode="#,##0.00"/>
    <numFmt numFmtId="169" formatCode="0.0%"/>
    <numFmt numFmtId="170" formatCode="0.00"/>
    <numFmt numFmtId="171" formatCode="0%"/>
    <numFmt numFmtId="172" formatCode="0.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6EAEB"/>
        <bgColor rgb="FFD9D9D9"/>
      </patternFill>
    </fill>
    <fill>
      <patternFill patternType="solid">
        <fgColor rgb="FF2E2640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FCC"/>
      <rgbColor rgb="FFE6EAEB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E26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Pedidos por mês (empresa)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2e264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Painel!$A$3:$A$22</c:f>
              <c:strCache>
                <c:ptCount val="20"/>
                <c:pt idx="0">
                  <c:v>jan/25</c:v>
                </c:pt>
                <c:pt idx="1">
                  <c:v>fev/25</c:v>
                </c:pt>
                <c:pt idx="2">
                  <c:v>mar/25</c:v>
                </c:pt>
                <c:pt idx="3">
                  <c:v>abr/25</c:v>
                </c:pt>
                <c:pt idx="4">
                  <c:v>mai/25</c:v>
                </c:pt>
                <c:pt idx="5">
                  <c:v>jun/25</c:v>
                </c:pt>
                <c:pt idx="6">
                  <c:v>jul/25</c:v>
                </c:pt>
                <c:pt idx="7">
                  <c:v>ago/25</c:v>
                </c:pt>
                <c:pt idx="8">
                  <c:v>set/25</c:v>
                </c:pt>
                <c:pt idx="9">
                  <c:v>out/25</c:v>
                </c:pt>
                <c:pt idx="10">
                  <c:v>nov/25</c:v>
                </c:pt>
                <c:pt idx="11">
                  <c:v>dez/25</c:v>
                </c:pt>
                <c:pt idx="12">
                  <c:v>jan/26</c:v>
                </c:pt>
                <c:pt idx="13">
                  <c:v>fev/26</c:v>
                </c:pt>
                <c:pt idx="14">
                  <c:v>mar/26</c:v>
                </c:pt>
                <c:pt idx="15">
                  <c:v>abr/26</c:v>
                </c:pt>
                <c:pt idx="16">
                  <c:v>mai/26</c:v>
                </c:pt>
                <c:pt idx="17">
                  <c:v>jun/26</c:v>
                </c:pt>
                <c:pt idx="18">
                  <c:v>jul/26</c:v>
                </c:pt>
                <c:pt idx="19">
                  <c:v>ago/26</c:v>
                </c:pt>
              </c:strCache>
            </c:strRef>
          </c:cat>
          <c:val>
            <c:numRef>
              <c:f>Painel!$D$3:$D$22</c:f>
              <c:numCache>
                <c:formatCode>#,##0</c:formatCode>
                <c:ptCount val="20"/>
                <c:pt idx="0">
                  <c:v>122600</c:v>
                </c:pt>
                <c:pt idx="1">
                  <c:v>356000</c:v>
                </c:pt>
                <c:pt idx="2">
                  <c:v>509600</c:v>
                </c:pt>
                <c:pt idx="3">
                  <c:v>481000</c:v>
                </c:pt>
                <c:pt idx="4">
                  <c:v>705600</c:v>
                </c:pt>
                <c:pt idx="5">
                  <c:v>653400</c:v>
                </c:pt>
                <c:pt idx="6">
                  <c:v>796800</c:v>
                </c:pt>
                <c:pt idx="7">
                  <c:v>844200</c:v>
                </c:pt>
                <c:pt idx="8">
                  <c:v>877400</c:v>
                </c:pt>
                <c:pt idx="9">
                  <c:v>924400</c:v>
                </c:pt>
                <c:pt idx="10">
                  <c:v>1340000</c:v>
                </c:pt>
                <c:pt idx="11">
                  <c:v>1318800</c:v>
                </c:pt>
                <c:pt idx="12">
                  <c:v>1361000</c:v>
                </c:pt>
                <c:pt idx="13">
                  <c:v>1299400</c:v>
                </c:pt>
                <c:pt idx="14">
                  <c:v>1522200</c:v>
                </c:pt>
                <c:pt idx="15">
                  <c:v>1372800</c:v>
                </c:pt>
                <c:pt idx="16">
                  <c:v>1426000</c:v>
                </c:pt>
                <c:pt idx="17">
                  <c:v>1195200</c:v>
                </c:pt>
                <c:pt idx="18">
                  <c:v>1214800</c:v>
                </c:pt>
                <c:pt idx="19">
                  <c:v>1484600</c:v>
                </c:pt>
              </c:numCache>
            </c:numRef>
          </c:val>
        </c:ser>
        <c:gapWidth val="150"/>
        <c:overlap val="0"/>
        <c:axId val="2266378"/>
        <c:axId val="12188503"/>
      </c:barChart>
      <c:catAx>
        <c:axId val="226637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188503"/>
        <c:crosses val="autoZero"/>
        <c:auto val="1"/>
        <c:lblAlgn val="ctr"/>
        <c:lblOffset val="100"/>
        <c:noMultiLvlLbl val="0"/>
      </c:catAx>
      <c:valAx>
        <c:axId val="1218850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6637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% entregas com atraso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2e2640"/>
            </a:solidFill>
            <a:ln w="28440">
              <a:solidFill>
                <a:srgbClr val="2e264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Painel!$A$3:$A$22</c:f>
              <c:strCache>
                <c:ptCount val="20"/>
                <c:pt idx="0">
                  <c:v>jan/25</c:v>
                </c:pt>
                <c:pt idx="1">
                  <c:v>fev/25</c:v>
                </c:pt>
                <c:pt idx="2">
                  <c:v>mar/25</c:v>
                </c:pt>
                <c:pt idx="3">
                  <c:v>abr/25</c:v>
                </c:pt>
                <c:pt idx="4">
                  <c:v>mai/25</c:v>
                </c:pt>
                <c:pt idx="5">
                  <c:v>jun/25</c:v>
                </c:pt>
                <c:pt idx="6">
                  <c:v>jul/25</c:v>
                </c:pt>
                <c:pt idx="7">
                  <c:v>ago/25</c:v>
                </c:pt>
                <c:pt idx="8">
                  <c:v>set/25</c:v>
                </c:pt>
                <c:pt idx="9">
                  <c:v>out/25</c:v>
                </c:pt>
                <c:pt idx="10">
                  <c:v>nov/25</c:v>
                </c:pt>
                <c:pt idx="11">
                  <c:v>dez/25</c:v>
                </c:pt>
                <c:pt idx="12">
                  <c:v>jan/26</c:v>
                </c:pt>
                <c:pt idx="13">
                  <c:v>fev/26</c:v>
                </c:pt>
                <c:pt idx="14">
                  <c:v>mar/26</c:v>
                </c:pt>
                <c:pt idx="15">
                  <c:v>abr/26</c:v>
                </c:pt>
                <c:pt idx="16">
                  <c:v>mai/26</c:v>
                </c:pt>
                <c:pt idx="17">
                  <c:v>jun/26</c:v>
                </c:pt>
                <c:pt idx="18">
                  <c:v>jul/26</c:v>
                </c:pt>
                <c:pt idx="19">
                  <c:v>ago/26</c:v>
                </c:pt>
              </c:strCache>
            </c:strRef>
          </c:cat>
          <c:val>
            <c:numRef>
              <c:f>Painel!$G$3:$G$22</c:f>
              <c:numCache>
                <c:formatCode>0.0%</c:formatCode>
                <c:ptCount val="20"/>
                <c:pt idx="0">
                  <c:v>0.026</c:v>
                </c:pt>
                <c:pt idx="1">
                  <c:v>0.0315</c:v>
                </c:pt>
                <c:pt idx="2">
                  <c:v>0.0556</c:v>
                </c:pt>
                <c:pt idx="3">
                  <c:v>0.0807</c:v>
                </c:pt>
                <c:pt idx="4">
                  <c:v>0.0381</c:v>
                </c:pt>
                <c:pt idx="5">
                  <c:v>0.0369</c:v>
                </c:pt>
                <c:pt idx="6">
                  <c:v>0.0349</c:v>
                </c:pt>
                <c:pt idx="7">
                  <c:v>0.0311</c:v>
                </c:pt>
                <c:pt idx="8">
                  <c:v>0.0538</c:v>
                </c:pt>
                <c:pt idx="9">
                  <c:v>0.0479</c:v>
                </c:pt>
                <c:pt idx="10">
                  <c:v>0.1276</c:v>
                </c:pt>
                <c:pt idx="11">
                  <c:v>0.1095</c:v>
                </c:pt>
                <c:pt idx="12">
                  <c:v>0.0609</c:v>
                </c:pt>
                <c:pt idx="13">
                  <c:v>0.1294</c:v>
                </c:pt>
                <c:pt idx="14">
                  <c:v>0.2299</c:v>
                </c:pt>
                <c:pt idx="15">
                  <c:v>0.0634</c:v>
                </c:pt>
                <c:pt idx="16">
                  <c:v>0.0845</c:v>
                </c:pt>
                <c:pt idx="17">
                  <c:v>0.0129</c:v>
                </c:pt>
                <c:pt idx="18">
                  <c:v>0.0329</c:v>
                </c:pt>
                <c:pt idx="19">
                  <c:v>0.1027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5441728"/>
        <c:axId val="31237223"/>
      </c:lineChart>
      <c:catAx>
        <c:axId val="25441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237223"/>
        <c:crosses val="autoZero"/>
        <c:auto val="1"/>
        <c:lblAlgn val="ctr"/>
        <c:lblOffset val="100"/>
        <c:noMultiLvlLbl val="0"/>
      </c:catAx>
      <c:valAx>
        <c:axId val="3123722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44172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Nota média do cliente (1–5)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2e2640"/>
            </a:solidFill>
            <a:ln w="28440">
              <a:solidFill>
                <a:srgbClr val="2e264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Painel!$A$3:$A$22</c:f>
              <c:strCache>
                <c:ptCount val="20"/>
                <c:pt idx="0">
                  <c:v>jan/25</c:v>
                </c:pt>
                <c:pt idx="1">
                  <c:v>fev/25</c:v>
                </c:pt>
                <c:pt idx="2">
                  <c:v>mar/25</c:v>
                </c:pt>
                <c:pt idx="3">
                  <c:v>abr/25</c:v>
                </c:pt>
                <c:pt idx="4">
                  <c:v>mai/25</c:v>
                </c:pt>
                <c:pt idx="5">
                  <c:v>jun/25</c:v>
                </c:pt>
                <c:pt idx="6">
                  <c:v>jul/25</c:v>
                </c:pt>
                <c:pt idx="7">
                  <c:v>ago/25</c:v>
                </c:pt>
                <c:pt idx="8">
                  <c:v>set/25</c:v>
                </c:pt>
                <c:pt idx="9">
                  <c:v>out/25</c:v>
                </c:pt>
                <c:pt idx="10">
                  <c:v>nov/25</c:v>
                </c:pt>
                <c:pt idx="11">
                  <c:v>dez/25</c:v>
                </c:pt>
                <c:pt idx="12">
                  <c:v>jan/26</c:v>
                </c:pt>
                <c:pt idx="13">
                  <c:v>fev/26</c:v>
                </c:pt>
                <c:pt idx="14">
                  <c:v>mar/26</c:v>
                </c:pt>
                <c:pt idx="15">
                  <c:v>abr/26</c:v>
                </c:pt>
                <c:pt idx="16">
                  <c:v>mai/26</c:v>
                </c:pt>
                <c:pt idx="17">
                  <c:v>jun/26</c:v>
                </c:pt>
                <c:pt idx="18">
                  <c:v>jul/26</c:v>
                </c:pt>
                <c:pt idx="19">
                  <c:v>ago/26</c:v>
                </c:pt>
              </c:strCache>
            </c:strRef>
          </c:cat>
          <c:val>
            <c:numRef>
              <c:f>Painel!$H$3:$H$22</c:f>
              <c:numCache>
                <c:formatCode>0.00</c:formatCode>
                <c:ptCount val="20"/>
                <c:pt idx="0">
                  <c:v>4.0659</c:v>
                </c:pt>
                <c:pt idx="1">
                  <c:v>4.0408</c:v>
                </c:pt>
                <c:pt idx="2">
                  <c:v>4.0538</c:v>
                </c:pt>
                <c:pt idx="3">
                  <c:v>4.0452</c:v>
                </c:pt>
                <c:pt idx="4">
                  <c:v>4.1345</c:v>
                </c:pt>
                <c:pt idx="5">
                  <c:v>4.144</c:v>
                </c:pt>
                <c:pt idx="6">
                  <c:v>4.1781</c:v>
                </c:pt>
                <c:pt idx="7">
                  <c:v>4.2266</c:v>
                </c:pt>
                <c:pt idx="8">
                  <c:v>4.1989</c:v>
                </c:pt>
                <c:pt idx="9">
                  <c:v>4.1325</c:v>
                </c:pt>
                <c:pt idx="10">
                  <c:v>3.9455</c:v>
                </c:pt>
                <c:pt idx="11">
                  <c:v>3.9718</c:v>
                </c:pt>
                <c:pt idx="12">
                  <c:v>4.0442</c:v>
                </c:pt>
                <c:pt idx="13">
                  <c:v>3.9156</c:v>
                </c:pt>
                <c:pt idx="14">
                  <c:v>3.7054</c:v>
                </c:pt>
                <c:pt idx="15">
                  <c:v>4.1284</c:v>
                </c:pt>
                <c:pt idx="16">
                  <c:v>4.1824</c:v>
                </c:pt>
                <c:pt idx="17">
                  <c:v>4.2796</c:v>
                </c:pt>
                <c:pt idx="18">
                  <c:v>4.2742</c:v>
                </c:pt>
                <c:pt idx="19">
                  <c:v>4.2532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724677"/>
        <c:axId val="97053321"/>
      </c:lineChart>
      <c:catAx>
        <c:axId val="272467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053321"/>
        <c:crosses val="autoZero"/>
        <c:auto val="1"/>
        <c:lblAlgn val="ctr"/>
        <c:lblOffset val="100"/>
        <c:noMultiLvlLbl val="0"/>
      </c:catAx>
      <c:valAx>
        <c:axId val="9705332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2467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10</xdr:col>
      <xdr:colOff>364680</xdr:colOff>
      <xdr:row>14</xdr:row>
      <xdr:rowOff>32760</xdr:rowOff>
    </xdr:to>
    <xdr:graphicFrame>
      <xdr:nvGraphicFramePr>
        <xdr:cNvPr id="0" name="Chart 1"/>
        <xdr:cNvGraphicFramePr/>
      </xdr:nvGraphicFramePr>
      <xdr:xfrm>
        <a:off x="0" y="0"/>
        <a:ext cx="647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16</xdr:row>
      <xdr:rowOff>0</xdr:rowOff>
    </xdr:from>
    <xdr:to>
      <xdr:col>10</xdr:col>
      <xdr:colOff>364680</xdr:colOff>
      <xdr:row>30</xdr:row>
      <xdr:rowOff>32760</xdr:rowOff>
    </xdr:to>
    <xdr:graphicFrame>
      <xdr:nvGraphicFramePr>
        <xdr:cNvPr id="1" name="Chart 2"/>
        <xdr:cNvGraphicFramePr/>
      </xdr:nvGraphicFramePr>
      <xdr:xfrm>
        <a:off x="0" y="3048120"/>
        <a:ext cx="647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32</xdr:row>
      <xdr:rowOff>0</xdr:rowOff>
    </xdr:from>
    <xdr:to>
      <xdr:col>10</xdr:col>
      <xdr:colOff>364680</xdr:colOff>
      <xdr:row>46</xdr:row>
      <xdr:rowOff>32400</xdr:rowOff>
    </xdr:to>
    <xdr:graphicFrame>
      <xdr:nvGraphicFramePr>
        <xdr:cNvPr id="2" name="Chart 3"/>
        <xdr:cNvGraphicFramePr/>
      </xdr:nvGraphicFramePr>
      <xdr:xfrm>
        <a:off x="0" y="6095880"/>
        <a:ext cx="647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2" t="s">
        <v>3</v>
      </c>
    </row>
    <row r="6" customFormat="false" ht="23.8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3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 t="s">
        <v>11</v>
      </c>
    </row>
    <row r="15" customFormat="false" ht="15" hidden="false" customHeight="false" outlineLevel="0" collapsed="false">
      <c r="A15" s="2"/>
    </row>
    <row r="16" customFormat="false" ht="15" hidden="false" customHeight="false" outlineLevel="0" collapsed="false">
      <c r="A16" s="3" t="s">
        <v>12</v>
      </c>
    </row>
    <row r="17" customFormat="false" ht="23.85" hidden="false" customHeight="false" outlineLevel="0" collapsed="false">
      <c r="A17" s="2" t="s">
        <v>13</v>
      </c>
    </row>
    <row r="18" customFormat="false" ht="15" hidden="false" customHeight="false" outlineLevel="0" collapsed="false">
      <c r="A18" s="2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0" min="1" style="0" width="14"/>
  </cols>
  <sheetData>
    <row r="1" customFormat="false" ht="35.05" hidden="false" customHeight="false" outlineLevel="0" collapsed="false">
      <c r="A1" s="4" t="s">
        <v>15</v>
      </c>
      <c r="C1" s="5" t="n">
        <v>200</v>
      </c>
    </row>
    <row r="2" customFormat="false" ht="42" hidden="false" customHeight="true" outlineLevel="0" collapsed="false">
      <c r="A2" s="6" t="s">
        <v>16</v>
      </c>
      <c r="B2" s="6" t="s">
        <v>17</v>
      </c>
      <c r="C2" s="6" t="s">
        <v>18</v>
      </c>
      <c r="D2" s="6" t="s">
        <v>19</v>
      </c>
      <c r="E2" s="6" t="s">
        <v>20</v>
      </c>
      <c r="F2" s="6" t="s">
        <v>21</v>
      </c>
      <c r="G2" s="6" t="s">
        <v>22</v>
      </c>
      <c r="H2" s="6" t="s">
        <v>23</v>
      </c>
      <c r="I2" s="6" t="s">
        <v>24</v>
      </c>
      <c r="J2" s="6" t="s">
        <v>25</v>
      </c>
    </row>
    <row r="3" customFormat="false" ht="15" hidden="false" customHeight="false" outlineLevel="0" collapsed="false">
      <c r="A3" s="7" t="s">
        <v>26</v>
      </c>
      <c r="B3" s="8" t="n">
        <v>613</v>
      </c>
      <c r="C3" s="8" t="n">
        <v>130592.56</v>
      </c>
      <c r="D3" s="9" t="n">
        <f aca="false">B3*$C$1</f>
        <v>122600</v>
      </c>
      <c r="E3" s="10" t="n">
        <f aca="false">C3*$C$1/1000000</f>
        <v>26.118512</v>
      </c>
      <c r="F3" s="11" t="n">
        <f aca="false">IF(B3=0,0,C3/B3)</f>
        <v>213.038433931485</v>
      </c>
      <c r="G3" s="12" t="n">
        <v>0.026</v>
      </c>
      <c r="H3" s="13" t="n">
        <v>4.0659</v>
      </c>
      <c r="I3" s="12" t="n">
        <v>0.1598</v>
      </c>
      <c r="J3" s="12" t="n">
        <v>0.0489</v>
      </c>
    </row>
    <row r="4" customFormat="false" ht="15" hidden="false" customHeight="false" outlineLevel="0" collapsed="false">
      <c r="A4" s="7" t="s">
        <v>27</v>
      </c>
      <c r="B4" s="8" t="n">
        <v>1780</v>
      </c>
      <c r="C4" s="8" t="n">
        <v>382742.81</v>
      </c>
      <c r="D4" s="9" t="n">
        <f aca="false">B4*$C$1</f>
        <v>356000</v>
      </c>
      <c r="E4" s="10" t="n">
        <f aca="false">C4*$C$1/1000000</f>
        <v>76.548562</v>
      </c>
      <c r="F4" s="11" t="n">
        <f aca="false">IF(B4=0,0,C4/B4)</f>
        <v>215.024050561798</v>
      </c>
      <c r="G4" s="12" t="n">
        <v>0.0315</v>
      </c>
      <c r="H4" s="13" t="n">
        <v>4.0408</v>
      </c>
      <c r="I4" s="12" t="n">
        <v>0.1547</v>
      </c>
      <c r="J4" s="12" t="n">
        <v>0.0185</v>
      </c>
    </row>
    <row r="5" customFormat="false" ht="15" hidden="false" customHeight="false" outlineLevel="0" collapsed="false">
      <c r="A5" s="7" t="s">
        <v>28</v>
      </c>
      <c r="B5" s="8" t="n">
        <v>2548</v>
      </c>
      <c r="C5" s="8" t="n">
        <v>538761.56</v>
      </c>
      <c r="D5" s="9" t="n">
        <f aca="false">B5*$C$1</f>
        <v>509600</v>
      </c>
      <c r="E5" s="10" t="n">
        <f aca="false">C5*$C$1/1000000</f>
        <v>107.752312</v>
      </c>
      <c r="F5" s="11" t="n">
        <f aca="false">IF(B5=0,0,C5/B5)</f>
        <v>211.444882260597</v>
      </c>
      <c r="G5" s="12" t="n">
        <v>0.0556</v>
      </c>
      <c r="H5" s="13" t="n">
        <v>4.0538</v>
      </c>
      <c r="I5" s="12" t="n">
        <v>0.1448</v>
      </c>
      <c r="J5" s="12" t="n">
        <v>0.0165</v>
      </c>
    </row>
    <row r="6" customFormat="false" ht="15" hidden="false" customHeight="false" outlineLevel="0" collapsed="false">
      <c r="A6" s="7" t="s">
        <v>29</v>
      </c>
      <c r="B6" s="8" t="n">
        <v>2405</v>
      </c>
      <c r="C6" s="8" t="n">
        <v>537703.55</v>
      </c>
      <c r="D6" s="9" t="n">
        <f aca="false">B6*$C$1</f>
        <v>481000</v>
      </c>
      <c r="E6" s="10" t="n">
        <f aca="false">C6*$C$1/1000000</f>
        <v>107.54071</v>
      </c>
      <c r="F6" s="11" t="n">
        <f aca="false">IF(B6=0,0,C6/B6)</f>
        <v>223.57735966736</v>
      </c>
      <c r="G6" s="12" t="n">
        <v>0.0807</v>
      </c>
      <c r="H6" s="13" t="n">
        <v>4.0452</v>
      </c>
      <c r="I6" s="12" t="n">
        <v>0.1546</v>
      </c>
      <c r="J6" s="12" t="n">
        <v>0.0216</v>
      </c>
    </row>
    <row r="7" customFormat="false" ht="15" hidden="false" customHeight="false" outlineLevel="0" collapsed="false">
      <c r="A7" s="7" t="s">
        <v>30</v>
      </c>
      <c r="B7" s="8" t="n">
        <v>3528</v>
      </c>
      <c r="C7" s="8" t="n">
        <v>736642.11</v>
      </c>
      <c r="D7" s="9" t="n">
        <f aca="false">B7*$C$1</f>
        <v>705600</v>
      </c>
      <c r="E7" s="10" t="n">
        <f aca="false">C7*$C$1/1000000</f>
        <v>147.328422</v>
      </c>
      <c r="F7" s="11" t="n">
        <f aca="false">IF(B7=0,0,C7/B7)</f>
        <v>208.798784013605</v>
      </c>
      <c r="G7" s="12" t="n">
        <v>0.0381</v>
      </c>
      <c r="H7" s="13" t="n">
        <v>4.1345</v>
      </c>
      <c r="I7" s="12" t="n">
        <v>0.131</v>
      </c>
      <c r="J7" s="12" t="n">
        <v>0.0283</v>
      </c>
    </row>
    <row r="8" customFormat="false" ht="15" hidden="false" customHeight="false" outlineLevel="0" collapsed="false">
      <c r="A8" s="7" t="s">
        <v>31</v>
      </c>
      <c r="B8" s="8" t="n">
        <v>3267</v>
      </c>
      <c r="C8" s="8" t="n">
        <v>662176.41</v>
      </c>
      <c r="D8" s="9" t="n">
        <f aca="false">B8*$C$1</f>
        <v>653400</v>
      </c>
      <c r="E8" s="10" t="n">
        <f aca="false">C8*$C$1/1000000</f>
        <v>132.435282</v>
      </c>
      <c r="F8" s="11" t="n">
        <f aca="false">IF(B8=0,0,C8/B8)</f>
        <v>202.686382001837</v>
      </c>
      <c r="G8" s="12" t="n">
        <v>0.0369</v>
      </c>
      <c r="H8" s="13" t="n">
        <v>4.144</v>
      </c>
      <c r="I8" s="12" t="n">
        <v>0.1274</v>
      </c>
      <c r="J8" s="12" t="n">
        <v>0.0318</v>
      </c>
    </row>
    <row r="9" customFormat="false" ht="15" hidden="false" customHeight="false" outlineLevel="0" collapsed="false">
      <c r="A9" s="7" t="s">
        <v>32</v>
      </c>
      <c r="B9" s="8" t="n">
        <v>3984</v>
      </c>
      <c r="C9" s="8" t="n">
        <v>734900.73</v>
      </c>
      <c r="D9" s="9" t="n">
        <f aca="false">B9*$C$1</f>
        <v>796800</v>
      </c>
      <c r="E9" s="10" t="n">
        <f aca="false">C9*$C$1/1000000</f>
        <v>146.980146</v>
      </c>
      <c r="F9" s="11" t="n">
        <f aca="false">IF(B9=0,0,C9/B9)</f>
        <v>184.463034638554</v>
      </c>
      <c r="G9" s="12" t="n">
        <v>0.0349</v>
      </c>
      <c r="H9" s="13" t="n">
        <v>4.1781</v>
      </c>
      <c r="I9" s="12" t="n">
        <v>0.1209</v>
      </c>
      <c r="J9" s="12" t="n">
        <v>0.0311</v>
      </c>
    </row>
    <row r="10" customFormat="false" ht="15" hidden="false" customHeight="false" outlineLevel="0" collapsed="false">
      <c r="A10" s="7" t="s">
        <v>33</v>
      </c>
      <c r="B10" s="8" t="n">
        <v>4221</v>
      </c>
      <c r="C10" s="8" t="n">
        <v>801963.11</v>
      </c>
      <c r="D10" s="9" t="n">
        <f aca="false">B10*$C$1</f>
        <v>844200</v>
      </c>
      <c r="E10" s="10" t="n">
        <f aca="false">C10*$C$1/1000000</f>
        <v>160.392622</v>
      </c>
      <c r="F10" s="11" t="n">
        <f aca="false">IF(B10=0,0,C10/B10)</f>
        <v>189.993629471689</v>
      </c>
      <c r="G10" s="12" t="n">
        <v>0.0311</v>
      </c>
      <c r="H10" s="13" t="n">
        <v>4.2266</v>
      </c>
      <c r="I10" s="12" t="n">
        <v>0.1169</v>
      </c>
      <c r="J10" s="12" t="n">
        <v>0.0336</v>
      </c>
    </row>
    <row r="11" customFormat="false" ht="15" hidden="false" customHeight="false" outlineLevel="0" collapsed="false">
      <c r="A11" s="7" t="s">
        <v>34</v>
      </c>
      <c r="B11" s="8" t="n">
        <v>4387</v>
      </c>
      <c r="C11" s="8" t="n">
        <v>970537.45</v>
      </c>
      <c r="D11" s="9" t="n">
        <f aca="false">B11*$C$1</f>
        <v>877400</v>
      </c>
      <c r="E11" s="10" t="n">
        <f aca="false">C11*$C$1/1000000</f>
        <v>194.10749</v>
      </c>
      <c r="F11" s="11" t="n">
        <f aca="false">IF(B11=0,0,C11/B11)</f>
        <v>221.230328242535</v>
      </c>
      <c r="G11" s="12" t="n">
        <v>0.0538</v>
      </c>
      <c r="H11" s="13" t="n">
        <v>4.1989</v>
      </c>
      <c r="I11" s="12" t="n">
        <v>0.1216</v>
      </c>
      <c r="J11" s="12" t="n">
        <v>0.0358</v>
      </c>
    </row>
    <row r="12" customFormat="false" ht="15" hidden="false" customHeight="false" outlineLevel="0" collapsed="false">
      <c r="A12" s="7" t="s">
        <v>35</v>
      </c>
      <c r="B12" s="8" t="n">
        <v>4622</v>
      </c>
      <c r="C12" s="8" t="n">
        <v>1014766.87</v>
      </c>
      <c r="D12" s="9" t="n">
        <f aca="false">B12*$C$1</f>
        <v>924400</v>
      </c>
      <c r="E12" s="10" t="n">
        <f aca="false">C12*$C$1/1000000</f>
        <v>202.953374</v>
      </c>
      <c r="F12" s="11" t="n">
        <f aca="false">IF(B12=0,0,C12/B12)</f>
        <v>219.551464733881</v>
      </c>
      <c r="G12" s="12" t="n">
        <v>0.0479</v>
      </c>
      <c r="H12" s="13" t="n">
        <v>4.1325</v>
      </c>
      <c r="I12" s="12" t="n">
        <v>0.131</v>
      </c>
      <c r="J12" s="12" t="n">
        <v>0.0348</v>
      </c>
    </row>
    <row r="13" customFormat="false" ht="15" hidden="false" customHeight="false" outlineLevel="0" collapsed="false">
      <c r="A13" s="7" t="s">
        <v>36</v>
      </c>
      <c r="B13" s="8" t="n">
        <v>6700</v>
      </c>
      <c r="C13" s="8" t="n">
        <v>1386967.19</v>
      </c>
      <c r="D13" s="9" t="n">
        <f aca="false">B13*$C$1</f>
        <v>1340000</v>
      </c>
      <c r="E13" s="10" t="n">
        <f aca="false">C13*$C$1/1000000</f>
        <v>277.393438</v>
      </c>
      <c r="F13" s="11" t="n">
        <f aca="false">IF(B13=0,0,C13/B13)</f>
        <v>207.010028358209</v>
      </c>
      <c r="G13" s="12" t="n">
        <v>0.1276</v>
      </c>
      <c r="H13" s="13" t="n">
        <v>3.9455</v>
      </c>
      <c r="I13" s="12" t="n">
        <v>0.1786</v>
      </c>
      <c r="J13" s="12" t="n">
        <v>0.0328</v>
      </c>
    </row>
    <row r="14" customFormat="false" ht="15" hidden="false" customHeight="false" outlineLevel="0" collapsed="false">
      <c r="A14" s="7" t="s">
        <v>37</v>
      </c>
      <c r="B14" s="8" t="n">
        <v>6594</v>
      </c>
      <c r="C14" s="8" t="n">
        <v>1292077.65</v>
      </c>
      <c r="D14" s="9" t="n">
        <f aca="false">B14*$C$1</f>
        <v>1318800</v>
      </c>
      <c r="E14" s="10" t="n">
        <f aca="false">C14*$C$1/1000000</f>
        <v>258.41553</v>
      </c>
      <c r="F14" s="11" t="n">
        <f aca="false">IF(B14=0,0,C14/B14)</f>
        <v>195.947474977252</v>
      </c>
      <c r="G14" s="12" t="n">
        <v>0.1095</v>
      </c>
      <c r="H14" s="13" t="n">
        <v>3.9718</v>
      </c>
      <c r="I14" s="12" t="n">
        <v>0.1752</v>
      </c>
      <c r="J14" s="12" t="n">
        <v>0.0334</v>
      </c>
    </row>
    <row r="15" customFormat="false" ht="15" hidden="false" customHeight="false" outlineLevel="0" collapsed="false">
      <c r="A15" s="7" t="s">
        <v>38</v>
      </c>
      <c r="B15" s="8" t="n">
        <v>6805</v>
      </c>
      <c r="C15" s="8" t="n">
        <v>1334049.61</v>
      </c>
      <c r="D15" s="9" t="n">
        <f aca="false">B15*$C$1</f>
        <v>1361000</v>
      </c>
      <c r="E15" s="10" t="n">
        <f aca="false">C15*$C$1/1000000</f>
        <v>266.809922</v>
      </c>
      <c r="F15" s="11" t="n">
        <f aca="false">IF(B15=0,0,C15/B15)</f>
        <v>196.039619397502</v>
      </c>
      <c r="G15" s="12" t="n">
        <v>0.0609</v>
      </c>
      <c r="H15" s="13" t="n">
        <v>4.0442</v>
      </c>
      <c r="I15" s="12" t="n">
        <v>0.1547</v>
      </c>
      <c r="J15" s="12" t="n">
        <v>0.0326</v>
      </c>
    </row>
    <row r="16" customFormat="false" ht="15" hidden="false" customHeight="false" outlineLevel="0" collapsed="false">
      <c r="A16" s="7" t="s">
        <v>39</v>
      </c>
      <c r="B16" s="8" t="n">
        <v>6497</v>
      </c>
      <c r="C16" s="8" t="n">
        <v>1208153.73</v>
      </c>
      <c r="D16" s="9" t="n">
        <f aca="false">B16*$C$1</f>
        <v>1299400</v>
      </c>
      <c r="E16" s="10" t="n">
        <f aca="false">C16*$C$1/1000000</f>
        <v>241.630746</v>
      </c>
      <c r="F16" s="11" t="n">
        <f aca="false">IF(B16=0,0,C16/B16)</f>
        <v>185.955630290903</v>
      </c>
      <c r="G16" s="12" t="n">
        <v>0.1294</v>
      </c>
      <c r="H16" s="13" t="n">
        <v>3.9156</v>
      </c>
      <c r="I16" s="12" t="n">
        <v>0.1856</v>
      </c>
      <c r="J16" s="12" t="n">
        <v>0.0396</v>
      </c>
    </row>
    <row r="17" customFormat="false" ht="15" hidden="false" customHeight="false" outlineLevel="0" collapsed="false">
      <c r="A17" s="7" t="s">
        <v>40</v>
      </c>
      <c r="B17" s="8" t="n">
        <v>7611</v>
      </c>
      <c r="C17" s="8" t="n">
        <v>1560018.47</v>
      </c>
      <c r="D17" s="9" t="n">
        <f aca="false">B17*$C$1</f>
        <v>1522200</v>
      </c>
      <c r="E17" s="10" t="n">
        <f aca="false">C17*$C$1/1000000</f>
        <v>312.003694</v>
      </c>
      <c r="F17" s="11" t="n">
        <f aca="false">IF(B17=0,0,C17/B17)</f>
        <v>204.968922612009</v>
      </c>
      <c r="G17" s="12" t="n">
        <v>0.2299</v>
      </c>
      <c r="H17" s="13" t="n">
        <v>3.7054</v>
      </c>
      <c r="I17" s="12" t="n">
        <v>0.24</v>
      </c>
      <c r="J17" s="12" t="n">
        <v>0.0353</v>
      </c>
    </row>
    <row r="18" customFormat="false" ht="15" hidden="false" customHeight="false" outlineLevel="0" collapsed="false">
      <c r="A18" s="7" t="s">
        <v>41</v>
      </c>
      <c r="B18" s="8" t="n">
        <v>6864</v>
      </c>
      <c r="C18" s="8" t="n">
        <v>1480450.35</v>
      </c>
      <c r="D18" s="9" t="n">
        <f aca="false">B18*$C$1</f>
        <v>1372800</v>
      </c>
      <c r="E18" s="10" t="n">
        <f aca="false">C18*$C$1/1000000</f>
        <v>296.09007</v>
      </c>
      <c r="F18" s="11" t="n">
        <f aca="false">IF(B18=0,0,C18/B18)</f>
        <v>215.683326048951</v>
      </c>
      <c r="G18" s="12" t="n">
        <v>0.0634</v>
      </c>
      <c r="H18" s="13" t="n">
        <v>4.1284</v>
      </c>
      <c r="I18" s="12" t="n">
        <v>0.1393</v>
      </c>
      <c r="J18" s="12" t="n">
        <v>0.0328</v>
      </c>
    </row>
    <row r="19" customFormat="false" ht="15" hidden="false" customHeight="false" outlineLevel="0" collapsed="false">
      <c r="A19" s="7" t="s">
        <v>42</v>
      </c>
      <c r="B19" s="8" t="n">
        <v>7130</v>
      </c>
      <c r="C19" s="8" t="n">
        <v>1534626.06</v>
      </c>
      <c r="D19" s="9" t="n">
        <f aca="false">B19*$C$1</f>
        <v>1426000</v>
      </c>
      <c r="E19" s="10" t="n">
        <f aca="false">C19*$C$1/1000000</f>
        <v>306.925212</v>
      </c>
      <c r="F19" s="11" t="n">
        <f aca="false">IF(B19=0,0,C19/B19)</f>
        <v>215.235071528752</v>
      </c>
      <c r="G19" s="12" t="n">
        <v>0.0845</v>
      </c>
      <c r="H19" s="13" t="n">
        <v>4.1824</v>
      </c>
      <c r="I19" s="12" t="n">
        <v>0.1221</v>
      </c>
      <c r="J19" s="12" t="n">
        <v>0.0362</v>
      </c>
    </row>
    <row r="20" customFormat="false" ht="15" hidden="false" customHeight="false" outlineLevel="0" collapsed="false">
      <c r="A20" s="7" t="s">
        <v>43</v>
      </c>
      <c r="B20" s="8" t="n">
        <v>5976</v>
      </c>
      <c r="C20" s="8" t="n">
        <v>1306088.32</v>
      </c>
      <c r="D20" s="9" t="n">
        <f aca="false">B20*$C$1</f>
        <v>1195200</v>
      </c>
      <c r="E20" s="10" t="n">
        <f aca="false">C20*$C$1/1000000</f>
        <v>261.217664</v>
      </c>
      <c r="F20" s="11" t="n">
        <f aca="false">IF(B20=0,0,C20/B20)</f>
        <v>218.555609103079</v>
      </c>
      <c r="G20" s="12" t="n">
        <v>0.0129</v>
      </c>
      <c r="H20" s="13" t="n">
        <v>4.2796</v>
      </c>
      <c r="I20" s="12" t="n">
        <v>0.1056</v>
      </c>
      <c r="J20" s="12" t="n">
        <v>0.0378</v>
      </c>
    </row>
    <row r="21" customFormat="false" ht="15" hidden="false" customHeight="false" outlineLevel="0" collapsed="false">
      <c r="A21" s="7" t="s">
        <v>44</v>
      </c>
      <c r="B21" s="8" t="n">
        <v>6074</v>
      </c>
      <c r="C21" s="8" t="n">
        <v>1278411.7</v>
      </c>
      <c r="D21" s="9" t="n">
        <f aca="false">B21*$C$1</f>
        <v>1214800</v>
      </c>
      <c r="E21" s="10" t="n">
        <f aca="false">C21*$C$1/1000000</f>
        <v>255.68234</v>
      </c>
      <c r="F21" s="11" t="n">
        <f aca="false">IF(B21=0,0,C21/B21)</f>
        <v>210.472785643727</v>
      </c>
      <c r="G21" s="12" t="n">
        <v>0.0329</v>
      </c>
      <c r="H21" s="13" t="n">
        <v>4.2742</v>
      </c>
      <c r="I21" s="12" t="n">
        <v>0.1093</v>
      </c>
      <c r="J21" s="12" t="n">
        <v>0.0357</v>
      </c>
    </row>
    <row r="22" customFormat="false" ht="15" hidden="false" customHeight="false" outlineLevel="0" collapsed="false">
      <c r="A22" s="7" t="s">
        <v>45</v>
      </c>
      <c r="B22" s="8" t="n">
        <v>7423</v>
      </c>
      <c r="C22" s="8" t="n">
        <v>1491480.6</v>
      </c>
      <c r="D22" s="9" t="n">
        <f aca="false">B22*$C$1</f>
        <v>1484600</v>
      </c>
      <c r="E22" s="10" t="n">
        <f aca="false">C22*$C$1/1000000</f>
        <v>298.29612</v>
      </c>
      <c r="F22" s="11" t="n">
        <f aca="false">IF(B22=0,0,C22/B22)</f>
        <v>200.926929812744</v>
      </c>
      <c r="G22" s="12" t="n">
        <v>0.1027</v>
      </c>
      <c r="H22" s="13" t="n">
        <v>4.2532</v>
      </c>
      <c r="I22" s="12" t="n">
        <v>0.1095</v>
      </c>
      <c r="J22" s="12" t="n">
        <v>0.035</v>
      </c>
    </row>
    <row r="23" customFormat="false" ht="15" hidden="false" customHeight="false" outlineLevel="0" collapsed="false">
      <c r="A23" s="4" t="s">
        <v>46</v>
      </c>
      <c r="B23" s="14" t="n">
        <f aca="false">SUM(B3:B22)</f>
        <v>99029</v>
      </c>
      <c r="C23" s="14" t="n">
        <f aca="false">SUM(C3:C22)</f>
        <v>20383110.84</v>
      </c>
      <c r="D23" s="14" t="n">
        <f aca="false">SUM(D3:D22)</f>
        <v>19805800</v>
      </c>
      <c r="E23" s="15" t="n">
        <f aca="false">SUM(E3:E22)</f>
        <v>4076.622168</v>
      </c>
      <c r="F23" s="16" t="n">
        <f aca="false">IF(B23=0,0,C23/B23)</f>
        <v>205.82971493199</v>
      </c>
    </row>
    <row r="24" customFormat="false" ht="15" hidden="false" customHeight="false" outlineLevel="0" collapsed="false">
      <c r="A24" s="17" t="s">
        <v>47</v>
      </c>
    </row>
    <row r="25" customFormat="false" ht="15" hidden="false" customHeight="false" outlineLevel="0" collapsed="false">
      <c r="A25" s="17" t="s">
        <v>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2026-10-07T18:04:04Z</dcterms:created>
  <dc:creator>openpyxl</dc:creator>
  <dc:description/>
  <dc:language>en-US</dc:language>
  <cp:lastModifiedBy/>
  <dcterms:modified xsi:type="dcterms:W3CDTF">2026-10-07T15:04:06Z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