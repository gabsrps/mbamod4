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-me" sheetId="1" state="visible" r:id="rId3"/>
    <sheet name="Entradas" sheetId="2" state="visible" r:id="rId4"/>
    <sheet name="Resultados" sheetId="3" state="visible" r:id="rId5"/>
    <sheet name="Gráfico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<sst xmlns="http://schemas.openxmlformats.org/spreadsheetml/2006/main" count="55" uniqueCount="43">
  <si>
    <t xml:space="preserve">Apêndice F1 — Relatório de monitoramento do modelo de crédito a sellers</t>
  </si>
  <si>
    <t xml:space="preserve">Grupo Meridiano · set/2025 a ago/2026 · consolidado em 30/09/2026</t>
  </si>
  <si>
    <t xml:space="preserve">O que é</t>
  </si>
  <si>
    <t xml:space="preserve">Relatório consolidado a pedido do conselho, em set/2026, para subsidiar o novo Head de IA, com o monitoramento do modelo de crédito a sellers (P06, Serviços Financeiros), único modelo preditivo próprio em produção que decide automaticamente. A conclusão abaixo foi escrita pelo time responsável.</t>
  </si>
  <si>
    <t xml:space="preserve">Conclusão do time de Serviços Financeiros</t>
  </si>
  <si>
    <t xml:space="preserve">"A inadimplência da carteira subiu a partir de mar/2026, movimento que atribuímos ao cenário macroeconômico. A taxa de aprovação do modelo permaneceu estável, o que indica consistência das decisões. As variáveis de entrada apresentaram oscilação pontual em março, já normalizada. Não vemos necessidade de retreino neste momento; próxima revisão trimestral em nov/2026."</t>
  </si>
  <si>
    <t xml:space="preserve">Abas</t>
  </si>
  <si>
    <t xml:space="preserve">Entradas: estabilidade das variáveis de entrada do modelo (PSI).</t>
  </si>
  <si>
    <t xml:space="preserve">Resultados: carteira, aprovação, inadimplência e capacidade de discriminação do modelo (AUC).</t>
  </si>
  <si>
    <t xml:space="preserve">Gráficos: visão consolidada.</t>
  </si>
  <si>
    <t xml:space="preserve">Glossário</t>
  </si>
  <si>
    <t xml:space="preserve">PSI (índice de estabilidade populacional): mede o quanto a distribuição de uma variável mudou em relação ao período de referência (jun–ago/2025). Referência usual de mercado: abaixo de 0,10 = estável; de 0,10 a 0,25 = atenção; acima de 0,25 = mudança significativa.</t>
  </si>
  <si>
    <t xml:space="preserve">AUC: capacidade do modelo de separar bons e maus pagadores (0,5 = aleatório; 1,0 = perfeito). Medida com 3 meses de defasagem, quando o pagamento já é conhecido.</t>
  </si>
  <si>
    <t xml:space="preserve">Inadimplência: % do saldo da carteira com atraso acima de 30 dias.</t>
  </si>
  <si>
    <t xml:space="preserve">Fonte</t>
  </si>
  <si>
    <t xml:space="preserve">Variáveis de sellers calculadas a partir da base amostral de pedidos do marketplace, adaptada da base pública da Olist (licença MIT). Dados de carteira de crédito: sistema de crédito de Serviços Financeiros.</t>
  </si>
  <si>
    <t xml:space="preserve">Modelo de crédito a sellers (P06) — estabilidade das variáveis de entrada (PSI vs. jun–ago/2025)</t>
  </si>
  <si>
    <t xml:space="preserve">Variável</t>
  </si>
  <si>
    <t xml:space="preserve">set/25</t>
  </si>
  <si>
    <t xml:space="preserve">out/25</t>
  </si>
  <si>
    <t xml:space="preserve">nov/25</t>
  </si>
  <si>
    <t xml:space="preserve">dez/25</t>
  </si>
  <si>
    <t xml:space="preserve">jan/26</t>
  </si>
  <si>
    <t xml:space="preserve">fev/26</t>
  </si>
  <si>
    <t xml:space="preserve">mar/26</t>
  </si>
  <si>
    <t xml:space="preserve">abr/26</t>
  </si>
  <si>
    <t xml:space="preserve">mai/26</t>
  </si>
  <si>
    <t xml:space="preserve">jun/26</t>
  </si>
  <si>
    <t xml:space="preserve">jul/26</t>
  </si>
  <si>
    <t xml:space="preserve">ago/26</t>
  </si>
  <si>
    <t xml:space="preserve">Faturamento mensal do seller</t>
  </si>
  <si>
    <t xml:space="preserve">% de pedidos entregues com atraso</t>
  </si>
  <si>
    <t xml:space="preserve">Nota média dos clientes</t>
  </si>
  <si>
    <t xml:space="preserve">Peso do frete no valor da venda</t>
  </si>
  <si>
    <t xml:space="preserve">Sellers ativos na amostra</t>
  </si>
  <si>
    <t xml:space="preserve">Referência: &lt; 0,10 estável · 0,10–0,25 atenção · &gt; 0,25 mudança significativa.</t>
  </si>
  <si>
    <t xml:space="preserve">Modelo de crédito a sellers (P06) — carteira e desempenho</t>
  </si>
  <si>
    <t xml:space="preserve">Indicador</t>
  </si>
  <si>
    <t xml:space="preserve">Saldo da carteira (R$ milhões)</t>
  </si>
  <si>
    <t xml:space="preserve">Taxa de aprovação do modelo</t>
  </si>
  <si>
    <t xml:space="preserve">Inadimplência &gt; 30 dias (% do saldo)</t>
  </si>
  <si>
    <t xml:space="preserve">AUC (defasagem de 3 meses)</t>
  </si>
  <si>
    <t xml:space="preserve">Saldo inadimplente (R$ milhões)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</si>
</sst>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#,##0.0"/>
    <numFmt numFmtId="167" formatCode="0%"/>
    <numFmt numFmtId="168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2E2640"/>
        <bgColor rgb="FF33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B3B3B3"/>
      <rgbColor rgb="FF003366"/>
      <rgbColor rgb="FF339966"/>
      <rgbColor rgb="FF003300"/>
      <rgbColor rgb="FF333300"/>
      <rgbColor rgb="FF993300"/>
      <rgbColor rgb="FF993366"/>
      <rgbColor rgb="FF333399"/>
      <rgbColor rgb="FF2E264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PSI de "% de pedidos com atraso"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2640"/>
            </a:solidFill>
            <a:ln w="2484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Entradas!$B$3:$M$3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Entradas!$B$5:$M$5</c:f>
              <c:numCache>
                <c:formatCode>0.00</c:formatCode>
                <c:ptCount val="12"/>
                <c:pt idx="0">
                  <c:v>0.029</c:v>
                </c:pt>
                <c:pt idx="1">
                  <c:v>0.015</c:v>
                </c:pt>
                <c:pt idx="2">
                  <c:v>0.296</c:v>
                </c:pt>
                <c:pt idx="3">
                  <c:v>0.211</c:v>
                </c:pt>
                <c:pt idx="4">
                  <c:v>0.063</c:v>
                </c:pt>
                <c:pt idx="5">
                  <c:v>0.368</c:v>
                </c:pt>
                <c:pt idx="6">
                  <c:v>0.95</c:v>
                </c:pt>
                <c:pt idx="7">
                  <c:v>0.059</c:v>
                </c:pt>
                <c:pt idx="8">
                  <c:v>0.099</c:v>
                </c:pt>
                <c:pt idx="9">
                  <c:v>0.124</c:v>
                </c:pt>
                <c:pt idx="10">
                  <c:v>0.02</c:v>
                </c:pt>
                <c:pt idx="11">
                  <c:v>0.18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8580087"/>
        <c:axId val="58087131"/>
      </c:lineChart>
      <c:catAx>
        <c:axId val="485800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8087131"/>
        <c:crosses val="autoZero"/>
        <c:auto val="1"/>
        <c:lblAlgn val="ctr"/>
        <c:lblOffset val="100"/>
        <c:noMultiLvlLbl val="0"/>
      </c:catAx>
      <c:valAx>
        <c:axId val="58087131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5800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Inadimplência &gt; 30 dias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2640"/>
            </a:solidFill>
            <a:ln w="2484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Resultados!$B$3:$M$3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Resultados!$B$6:$M$6</c:f>
              <c:numCache>
                <c:formatCode>0.0%</c:formatCode>
                <c:ptCount val="12"/>
                <c:pt idx="0">
                  <c:v>0.031</c:v>
                </c:pt>
                <c:pt idx="1">
                  <c:v>0.03</c:v>
                </c:pt>
                <c:pt idx="2">
                  <c:v>0.033</c:v>
                </c:pt>
                <c:pt idx="3">
                  <c:v>0.036</c:v>
                </c:pt>
                <c:pt idx="4">
                  <c:v>0.038</c:v>
                </c:pt>
                <c:pt idx="5">
                  <c:v>0.041</c:v>
                </c:pt>
                <c:pt idx="6">
                  <c:v>0.049</c:v>
                </c:pt>
                <c:pt idx="7">
                  <c:v>0.058</c:v>
                </c:pt>
                <c:pt idx="8">
                  <c:v>0.064</c:v>
                </c:pt>
                <c:pt idx="9">
                  <c:v>0.066</c:v>
                </c:pt>
                <c:pt idx="10">
                  <c:v>0.063</c:v>
                </c:pt>
                <c:pt idx="11">
                  <c:v>0.061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0574457"/>
        <c:axId val="83763130"/>
      </c:lineChart>
      <c:catAx>
        <c:axId val="4057445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763130"/>
        <c:crosses val="autoZero"/>
        <c:auto val="1"/>
        <c:lblAlgn val="ctr"/>
        <c:lblOffset val="100"/>
        <c:noMultiLvlLbl val="0"/>
      </c:catAx>
      <c:valAx>
        <c:axId val="8376313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057445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AUC do modelo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2640"/>
            </a:solidFill>
            <a:ln w="2484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Resultados!$B$3:$M$3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Resultados!$B$7:$M$7</c:f>
              <c:numCache>
                <c:formatCode>0.00</c:formatCode>
                <c:ptCount val="12"/>
                <c:pt idx="0">
                  <c:v>0.79</c:v>
                </c:pt>
                <c:pt idx="1">
                  <c:v>0.79</c:v>
                </c:pt>
                <c:pt idx="2">
                  <c:v>0.78</c:v>
                </c:pt>
                <c:pt idx="3">
                  <c:v>0.77</c:v>
                </c:pt>
                <c:pt idx="4">
                  <c:v>0.77</c:v>
                </c:pt>
                <c:pt idx="5">
                  <c:v>0.76</c:v>
                </c:pt>
                <c:pt idx="6">
                  <c:v>0.74</c:v>
                </c:pt>
                <c:pt idx="7">
                  <c:v>0.72</c:v>
                </c:pt>
                <c:pt idx="8">
                  <c:v>0.71</c:v>
                </c:pt>
                <c:pt idx="9">
                  <c:v>0.7</c:v>
                </c:pt>
                <c:pt idx="10">
                  <c:v>0.7</c:v>
                </c:pt>
                <c:pt idx="11">
                  <c:v>0.71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4260426"/>
        <c:axId val="7519434"/>
      </c:lineChart>
      <c:catAx>
        <c:axId val="426042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519434"/>
        <c:crosses val="autoZero"/>
        <c:auto val="1"/>
        <c:lblAlgn val="ctr"/>
        <c:lblOffset val="100"/>
        <c:noMultiLvlLbl val="0"/>
      </c:catAx>
      <c:valAx>
        <c:axId val="7519434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.0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26042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Taxa de aprovação do modelo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spPr>
            <a:solidFill>
              <a:srgbClr val="2e2640"/>
            </a:solidFill>
            <a:ln w="24840">
              <a:solidFill>
                <a:srgbClr val="2e2640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Resultados!$B$3:$M$3</c:f>
              <c:strCache>
                <c:ptCount val="12"/>
                <c:pt idx="0">
                  <c:v>set/25</c:v>
                </c:pt>
                <c:pt idx="1">
                  <c:v>out/25</c:v>
                </c:pt>
                <c:pt idx="2">
                  <c:v>nov/25</c:v>
                </c:pt>
                <c:pt idx="3">
                  <c:v>dez/25</c:v>
                </c:pt>
                <c:pt idx="4">
                  <c:v>jan/26</c:v>
                </c:pt>
                <c:pt idx="5">
                  <c:v>fev/26</c:v>
                </c:pt>
                <c:pt idx="6">
                  <c:v>mar/26</c:v>
                </c:pt>
                <c:pt idx="7">
                  <c:v>abr/26</c:v>
                </c:pt>
                <c:pt idx="8">
                  <c:v>mai/26</c:v>
                </c:pt>
                <c:pt idx="9">
                  <c:v>jun/26</c:v>
                </c:pt>
                <c:pt idx="10">
                  <c:v>jul/26</c:v>
                </c:pt>
                <c:pt idx="11">
                  <c:v>ago/26</c:v>
                </c:pt>
              </c:strCache>
            </c:strRef>
          </c:cat>
          <c:val>
            <c:numRef>
              <c:f>Resultados!$B$5:$M$5</c:f>
              <c:numCache>
                <c:formatCode>0%</c:formatCode>
                <c:ptCount val="12"/>
                <c:pt idx="0">
                  <c:v>0.62</c:v>
                </c:pt>
                <c:pt idx="1">
                  <c:v>0.62</c:v>
                </c:pt>
                <c:pt idx="2">
                  <c:v>0.63</c:v>
                </c:pt>
                <c:pt idx="3">
                  <c:v>0.62</c:v>
                </c:pt>
                <c:pt idx="4">
                  <c:v>0.63</c:v>
                </c:pt>
                <c:pt idx="5">
                  <c:v>0.63</c:v>
                </c:pt>
                <c:pt idx="6">
                  <c:v>0.62</c:v>
                </c:pt>
                <c:pt idx="7">
                  <c:v>0.63</c:v>
                </c:pt>
                <c:pt idx="8">
                  <c:v>0.62</c:v>
                </c:pt>
                <c:pt idx="9">
                  <c:v>0.63</c:v>
                </c:pt>
                <c:pt idx="10">
                  <c:v>0.62</c:v>
                </c:pt>
                <c:pt idx="11">
                  <c:v>0.63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6467620"/>
        <c:axId val="21024020"/>
      </c:lineChart>
      <c:catAx>
        <c:axId val="64676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1024020"/>
        <c:crosses val="autoZero"/>
        <c:auto val="1"/>
        <c:lblAlgn val="ctr"/>
        <c:lblOffset val="100"/>
        <c:noMultiLvlLbl val="0"/>
      </c:catAx>
      <c:valAx>
        <c:axId val="21024020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7620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9</xdr:col>
      <xdr:colOff>255960</xdr:colOff>
      <xdr:row>14</xdr:row>
      <xdr:rowOff>32760</xdr:rowOff>
    </xdr:to>
    <xdr:graphicFrame>
      <xdr:nvGraphicFramePr>
        <xdr:cNvPr id="0" name="Chart 1"/>
        <xdr:cNvGraphicFramePr/>
      </xdr:nvGraphicFramePr>
      <xdr:xfrm>
        <a:off x="0" y="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10</xdr:col>
      <xdr:colOff>0</xdr:colOff>
      <xdr:row>0</xdr:row>
      <xdr:rowOff>0</xdr:rowOff>
    </xdr:from>
    <xdr:to>
      <xdr:col>19</xdr:col>
      <xdr:colOff>255960</xdr:colOff>
      <xdr:row>14</xdr:row>
      <xdr:rowOff>32760</xdr:rowOff>
    </xdr:to>
    <xdr:graphicFrame>
      <xdr:nvGraphicFramePr>
        <xdr:cNvPr id="1" name="Chart 2"/>
        <xdr:cNvGraphicFramePr/>
      </xdr:nvGraphicFramePr>
      <xdr:xfrm>
        <a:off x="6114960" y="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16</xdr:row>
      <xdr:rowOff>0</xdr:rowOff>
    </xdr:from>
    <xdr:to>
      <xdr:col>9</xdr:col>
      <xdr:colOff>255960</xdr:colOff>
      <xdr:row>30</xdr:row>
      <xdr:rowOff>32760</xdr:rowOff>
    </xdr:to>
    <xdr:graphicFrame>
      <xdr:nvGraphicFramePr>
        <xdr:cNvPr id="2" name="Chart 3"/>
        <xdr:cNvGraphicFramePr/>
      </xdr:nvGraphicFramePr>
      <xdr:xfrm>
        <a:off x="0" y="3048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10</xdr:col>
      <xdr:colOff>0</xdr:colOff>
      <xdr:row>16</xdr:row>
      <xdr:rowOff>0</xdr:rowOff>
    </xdr:from>
    <xdr:to>
      <xdr:col>19</xdr:col>
      <xdr:colOff>255960</xdr:colOff>
      <xdr:row>30</xdr:row>
      <xdr:rowOff>32760</xdr:rowOff>
    </xdr:to>
    <xdr:graphicFrame>
      <xdr:nvGraphicFramePr>
        <xdr:cNvPr id="3" name="Chart 4"/>
        <xdr:cNvGraphicFramePr/>
      </xdr:nvGraphicFramePr>
      <xdr:xfrm>
        <a:off x="6114960" y="3048120"/>
        <a:ext cx="5759640" cy="269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0"/>
  </cols>
  <sheetData>
    <row r="1" customFormat="false" ht="15.7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3" customFormat="false" ht="15" hidden="false" customHeight="true" outlineLevel="0" collapsed="false">
      <c r="A3" s="3"/>
    </row>
    <row r="4" customFormat="false" ht="15" hidden="false" customHeight="true" outlineLevel="0" collapsed="false">
      <c r="A4" s="4" t="s">
        <v>2</v>
      </c>
    </row>
    <row r="5" customFormat="false" ht="34.5" hidden="false" customHeight="true" outlineLevel="0" collapsed="false">
      <c r="A5" s="3" t="s">
        <v>3</v>
      </c>
    </row>
    <row r="6" customFormat="false" ht="15" hidden="false" customHeight="true" outlineLevel="0" collapsed="false">
      <c r="A6" s="3"/>
    </row>
    <row r="7" customFormat="false" ht="15" hidden="false" customHeight="true" outlineLevel="0" collapsed="false">
      <c r="A7" s="4" t="s">
        <v>4</v>
      </c>
    </row>
    <row r="8" customFormat="false" ht="34.5" hidden="false" customHeight="true" outlineLevel="0" collapsed="false">
      <c r="A8" s="3" t="s">
        <v>5</v>
      </c>
    </row>
    <row r="9" customFormat="false" ht="15" hidden="false" customHeight="true" outlineLevel="0" collapsed="false">
      <c r="A9" s="3"/>
    </row>
    <row r="10" customFormat="false" ht="15" hidden="false" customHeight="true" outlineLevel="0" collapsed="false">
      <c r="A10" s="4" t="s">
        <v>6</v>
      </c>
    </row>
    <row r="11" customFormat="false" ht="34.5" hidden="false" customHeight="true" outlineLevel="0" collapsed="false">
      <c r="A11" s="3" t="s">
        <v>7</v>
      </c>
    </row>
    <row r="12" customFormat="false" ht="15" hidden="false" customHeight="true" outlineLevel="0" collapsed="false">
      <c r="A12" s="3" t="s">
        <v>8</v>
      </c>
    </row>
    <row r="13" customFormat="false" ht="15" hidden="false" customHeight="true" outlineLevel="0" collapsed="false">
      <c r="A13" s="3" t="s">
        <v>9</v>
      </c>
    </row>
    <row r="14" customFormat="false" ht="15" hidden="false" customHeight="true" outlineLevel="0" collapsed="false">
      <c r="A14" s="3"/>
    </row>
    <row r="15" customFormat="false" ht="15" hidden="false" customHeight="true" outlineLevel="0" collapsed="false">
      <c r="A15" s="4" t="s">
        <v>10</v>
      </c>
    </row>
    <row r="16" customFormat="false" ht="15" hidden="false" customHeight="true" outlineLevel="0" collapsed="false">
      <c r="A16" s="3" t="s">
        <v>11</v>
      </c>
    </row>
    <row r="17" customFormat="false" ht="15" hidden="false" customHeight="true" outlineLevel="0" collapsed="false">
      <c r="A17" s="3" t="s">
        <v>12</v>
      </c>
    </row>
    <row r="18" customFormat="false" ht="15" hidden="false" customHeight="true" outlineLevel="0" collapsed="false">
      <c r="A18" s="3" t="s">
        <v>13</v>
      </c>
    </row>
    <row r="19" customFormat="false" ht="15" hidden="false" customHeight="true" outlineLevel="0" collapsed="false">
      <c r="A19" s="3"/>
    </row>
    <row r="20" customFormat="false" ht="15" hidden="false" customHeight="true" outlineLevel="0" collapsed="false">
      <c r="A20" s="4" t="s">
        <v>14</v>
      </c>
    </row>
    <row r="21" customFormat="false" ht="15" hidden="false" customHeight="true" outlineLevel="0" collapsed="false">
      <c r="A21" s="3" t="s">
        <v>15</v>
      </c>
    </row>
    <row r="22" customFormat="false" ht="34.5" hidden="false" customHeight="true" outlineLevel="0" collapsed="false">
      <c r="A22" s="3"/>
    </row>
    <row r="23" customFormat="false" ht="23.25" hidden="false" customHeight="true" outlineLevel="0" collapsed="false">
      <c r="A23" s="3"/>
    </row>
    <row r="24" customFormat="false" ht="15" hidden="false" customHeight="true" outlineLevel="0" collapsed="false">
      <c r="A24" s="3"/>
    </row>
    <row r="25" customFormat="false" ht="15" hidden="false" customHeight="true" outlineLevel="0" collapsed="false">
      <c r="A25" s="3"/>
    </row>
    <row r="26" customFormat="false" ht="15" hidden="false" customHeight="true" outlineLevel="0" collapsed="false">
      <c r="A26" s="4"/>
    </row>
    <row r="27" customFormat="false" ht="23.25" hidden="false" customHeight="true" outlineLevel="0" collapsed="false">
      <c r="A27" s="3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0"/>
  </cols>
  <sheetData>
    <row r="1" customFormat="false" ht="15" hidden="false" customHeight="true" outlineLevel="0" collapsed="false">
      <c r="A1" s="5" t="s">
        <v>16</v>
      </c>
    </row>
    <row r="3" customFormat="false" ht="39.75" hidden="false" customHeight="tru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customFormat="false" ht="15" hidden="false" customHeight="true" outlineLevel="0" collapsed="false">
      <c r="A4" s="7" t="s">
        <v>30</v>
      </c>
      <c r="B4" s="8" t="n">
        <v>0.018</v>
      </c>
      <c r="C4" s="8" t="n">
        <v>0.008</v>
      </c>
      <c r="D4" s="8" t="n">
        <v>0.03</v>
      </c>
      <c r="E4" s="8" t="n">
        <v>0.017</v>
      </c>
      <c r="F4" s="8" t="n">
        <v>0.019</v>
      </c>
      <c r="G4" s="8" t="n">
        <v>0.009</v>
      </c>
      <c r="H4" s="8" t="n">
        <v>0.027</v>
      </c>
      <c r="I4" s="8" t="n">
        <v>0.009</v>
      </c>
      <c r="J4" s="8" t="n">
        <v>0.006</v>
      </c>
      <c r="K4" s="8" t="n">
        <v>0.009</v>
      </c>
      <c r="L4" s="8" t="n">
        <v>0.021</v>
      </c>
      <c r="M4" s="8" t="n">
        <v>0.013</v>
      </c>
    </row>
    <row r="5" customFormat="false" ht="15" hidden="false" customHeight="true" outlineLevel="0" collapsed="false">
      <c r="A5" s="7" t="s">
        <v>31</v>
      </c>
      <c r="B5" s="8" t="n">
        <v>0.029</v>
      </c>
      <c r="C5" s="8" t="n">
        <v>0.015</v>
      </c>
      <c r="D5" s="8" t="n">
        <v>0.296</v>
      </c>
      <c r="E5" s="8" t="n">
        <v>0.211</v>
      </c>
      <c r="F5" s="8" t="n">
        <v>0.063</v>
      </c>
      <c r="G5" s="8" t="n">
        <v>0.368</v>
      </c>
      <c r="H5" s="8" t="n">
        <v>0.95</v>
      </c>
      <c r="I5" s="8" t="n">
        <v>0.059</v>
      </c>
      <c r="J5" s="8" t="n">
        <v>0.099</v>
      </c>
      <c r="K5" s="8" t="n">
        <v>0.124</v>
      </c>
      <c r="L5" s="8" t="n">
        <v>0.02</v>
      </c>
      <c r="M5" s="8" t="n">
        <v>0.18</v>
      </c>
    </row>
    <row r="6" customFormat="false" ht="15" hidden="false" customHeight="true" outlineLevel="0" collapsed="false">
      <c r="A6" s="7" t="s">
        <v>32</v>
      </c>
      <c r="B6" s="8" t="n">
        <v>0.021</v>
      </c>
      <c r="C6" s="8" t="n">
        <v>0.019</v>
      </c>
      <c r="D6" s="8" t="n">
        <v>0.079</v>
      </c>
      <c r="E6" s="8" t="n">
        <v>0.105</v>
      </c>
      <c r="F6" s="8" t="n">
        <v>0.066</v>
      </c>
      <c r="G6" s="8" t="n">
        <v>0.12</v>
      </c>
      <c r="H6" s="8" t="n">
        <v>0.336</v>
      </c>
      <c r="I6" s="8" t="n">
        <v>0.015</v>
      </c>
      <c r="J6" s="8" t="n">
        <v>0.013</v>
      </c>
      <c r="K6" s="8" t="n">
        <v>0.024</v>
      </c>
      <c r="L6" s="8" t="n">
        <v>0.044</v>
      </c>
      <c r="M6" s="8" t="n">
        <v>0.019</v>
      </c>
    </row>
    <row r="7" customFormat="false" ht="15" hidden="false" customHeight="true" outlineLevel="0" collapsed="false">
      <c r="A7" s="7" t="s">
        <v>33</v>
      </c>
      <c r="B7" s="8" t="n">
        <v>0.017</v>
      </c>
      <c r="C7" s="8" t="n">
        <v>0.019</v>
      </c>
      <c r="D7" s="8" t="n">
        <v>0.017</v>
      </c>
      <c r="E7" s="8" t="n">
        <v>0.033</v>
      </c>
      <c r="F7" s="8" t="n">
        <v>0.021</v>
      </c>
      <c r="G7" s="8" t="n">
        <v>0.018</v>
      </c>
      <c r="H7" s="8" t="n">
        <v>0.015</v>
      </c>
      <c r="I7" s="8" t="n">
        <v>0.007</v>
      </c>
      <c r="J7" s="8" t="n">
        <v>0.014</v>
      </c>
      <c r="K7" s="8" t="n">
        <v>0.015</v>
      </c>
      <c r="L7" s="8" t="n">
        <v>0.036</v>
      </c>
      <c r="M7" s="8" t="n">
        <v>0.022</v>
      </c>
    </row>
    <row r="9" customFormat="false" ht="15" hidden="false" customHeight="true" outlineLevel="0" collapsed="false">
      <c r="A9" s="7" t="s">
        <v>34</v>
      </c>
      <c r="B9" s="9" t="n">
        <v>712</v>
      </c>
      <c r="C9" s="9" t="n">
        <v>773</v>
      </c>
      <c r="D9" s="9" t="n">
        <v>899</v>
      </c>
      <c r="E9" s="9" t="n">
        <v>913</v>
      </c>
      <c r="F9" s="9" t="n">
        <v>930</v>
      </c>
      <c r="G9" s="9" t="n">
        <v>924</v>
      </c>
      <c r="H9" s="9" t="n">
        <v>1001</v>
      </c>
      <c r="I9" s="9" t="n">
        <v>1093</v>
      </c>
      <c r="J9" s="9" t="n">
        <v>1115</v>
      </c>
      <c r="K9" s="9" t="n">
        <v>1143</v>
      </c>
      <c r="L9" s="9" t="n">
        <v>1208</v>
      </c>
      <c r="M9" s="9" t="n">
        <v>1333</v>
      </c>
    </row>
    <row r="11" customFormat="false" ht="15" hidden="false" customHeight="true" outlineLevel="0" collapsed="false">
      <c r="A11" s="1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8"/>
    <col collapsed="false" customWidth="true" hidden="false" outlineLevel="0" max="13" min="2" style="1" width="10"/>
  </cols>
  <sheetData>
    <row r="1" customFormat="false" ht="15" hidden="false" customHeight="true" outlineLevel="0" collapsed="false">
      <c r="A1" s="5" t="s">
        <v>36</v>
      </c>
    </row>
    <row r="3" customFormat="false" ht="39.75" hidden="false" customHeight="true" outlineLevel="0" collapsed="false">
      <c r="A3" s="6" t="s">
        <v>37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  <c r="J3" s="6" t="s">
        <v>26</v>
      </c>
      <c r="K3" s="6" t="s">
        <v>27</v>
      </c>
      <c r="L3" s="6" t="s">
        <v>28</v>
      </c>
      <c r="M3" s="6" t="s">
        <v>29</v>
      </c>
    </row>
    <row r="4" customFormat="false" ht="15" hidden="false" customHeight="true" outlineLevel="0" collapsed="false">
      <c r="A4" s="7" t="s">
        <v>38</v>
      </c>
      <c r="B4" s="11" t="n">
        <v>38.5</v>
      </c>
      <c r="C4" s="11" t="n">
        <v>41.2</v>
      </c>
      <c r="D4" s="11" t="n">
        <v>46.8</v>
      </c>
      <c r="E4" s="11" t="n">
        <v>49.3</v>
      </c>
      <c r="F4" s="11" t="n">
        <v>50.1</v>
      </c>
      <c r="G4" s="11" t="n">
        <v>51.6</v>
      </c>
      <c r="H4" s="11" t="n">
        <v>55.4</v>
      </c>
      <c r="I4" s="11" t="n">
        <v>57.9</v>
      </c>
      <c r="J4" s="11" t="n">
        <v>59.2</v>
      </c>
      <c r="K4" s="11" t="n">
        <v>60.4</v>
      </c>
      <c r="L4" s="11" t="n">
        <v>61</v>
      </c>
      <c r="M4" s="11" t="n">
        <v>63.7</v>
      </c>
    </row>
    <row r="5" customFormat="false" ht="15" hidden="false" customHeight="true" outlineLevel="0" collapsed="false">
      <c r="A5" s="7" t="s">
        <v>39</v>
      </c>
      <c r="B5" s="12" t="n">
        <v>0.62</v>
      </c>
      <c r="C5" s="12" t="n">
        <v>0.62</v>
      </c>
      <c r="D5" s="12" t="n">
        <v>0.63</v>
      </c>
      <c r="E5" s="12" t="n">
        <v>0.62</v>
      </c>
      <c r="F5" s="12" t="n">
        <v>0.63</v>
      </c>
      <c r="G5" s="12" t="n">
        <v>0.63</v>
      </c>
      <c r="H5" s="12" t="n">
        <v>0.62</v>
      </c>
      <c r="I5" s="12" t="n">
        <v>0.63</v>
      </c>
      <c r="J5" s="12" t="n">
        <v>0.62</v>
      </c>
      <c r="K5" s="12" t="n">
        <v>0.63</v>
      </c>
      <c r="L5" s="12" t="n">
        <v>0.62</v>
      </c>
      <c r="M5" s="12" t="n">
        <v>0.63</v>
      </c>
    </row>
    <row r="6" customFormat="false" ht="15" hidden="false" customHeight="true" outlineLevel="0" collapsed="false">
      <c r="A6" s="7" t="s">
        <v>40</v>
      </c>
      <c r="B6" s="13" t="n">
        <v>0.031</v>
      </c>
      <c r="C6" s="13" t="n">
        <v>0.03</v>
      </c>
      <c r="D6" s="13" t="n">
        <v>0.033</v>
      </c>
      <c r="E6" s="13" t="n">
        <v>0.036</v>
      </c>
      <c r="F6" s="13" t="n">
        <v>0.038</v>
      </c>
      <c r="G6" s="13" t="n">
        <v>0.041</v>
      </c>
      <c r="H6" s="13" t="n">
        <v>0.049</v>
      </c>
      <c r="I6" s="13" t="n">
        <v>0.058</v>
      </c>
      <c r="J6" s="13" t="n">
        <v>0.064</v>
      </c>
      <c r="K6" s="13" t="n">
        <v>0.066</v>
      </c>
      <c r="L6" s="13" t="n">
        <v>0.063</v>
      </c>
      <c r="M6" s="13" t="n">
        <v>0.061</v>
      </c>
    </row>
    <row r="7" customFormat="false" ht="15" hidden="false" customHeight="true" outlineLevel="0" collapsed="false">
      <c r="A7" s="7" t="s">
        <v>41</v>
      </c>
      <c r="B7" s="8" t="n">
        <v>0.79</v>
      </c>
      <c r="C7" s="8" t="n">
        <v>0.79</v>
      </c>
      <c r="D7" s="8" t="n">
        <v>0.78</v>
      </c>
      <c r="E7" s="8" t="n">
        <v>0.77</v>
      </c>
      <c r="F7" s="8" t="n">
        <v>0.77</v>
      </c>
      <c r="G7" s="8" t="n">
        <v>0.76</v>
      </c>
      <c r="H7" s="8" t="n">
        <v>0.74</v>
      </c>
      <c r="I7" s="8" t="n">
        <v>0.72</v>
      </c>
      <c r="J7" s="8" t="n">
        <v>0.71</v>
      </c>
      <c r="K7" s="8" t="n">
        <v>0.7</v>
      </c>
      <c r="L7" s="8" t="n">
        <v>0.7</v>
      </c>
      <c r="M7" s="8" t="n">
        <v>0.71</v>
      </c>
    </row>
    <row r="8" customFormat="false" ht="15" hidden="false" customHeight="true" outlineLevel="0" collapsed="false">
      <c r="A8" s="5" t="s">
        <v>42</v>
      </c>
      <c r="B8" s="14" t="n">
        <f aca="false">B4*B6</f>
        <v>1.1935</v>
      </c>
      <c r="C8" s="14" t="n">
        <f aca="false">C4*C6</f>
        <v>1.236</v>
      </c>
      <c r="D8" s="14" t="n">
        <f aca="false">D4*D6</f>
        <v>1.5444</v>
      </c>
      <c r="E8" s="14" t="n">
        <f aca="false">E4*E6</f>
        <v>1.7748</v>
      </c>
      <c r="F8" s="14" t="n">
        <f aca="false">F4*F6</f>
        <v>1.9038</v>
      </c>
      <c r="G8" s="14" t="n">
        <f aca="false">G4*G6</f>
        <v>2.1156</v>
      </c>
      <c r="H8" s="14" t="n">
        <f aca="false">H4*H6</f>
        <v>2.7146</v>
      </c>
      <c r="I8" s="14" t="n">
        <f aca="false">I4*I6</f>
        <v>3.3582</v>
      </c>
      <c r="J8" s="14" t="n">
        <f aca="false">J4*J6</f>
        <v>3.7888</v>
      </c>
      <c r="K8" s="14" t="n">
        <f aca="false">K4*K6</f>
        <v>3.9864</v>
      </c>
      <c r="L8" s="14" t="n">
        <f aca="false">L4*L6</f>
        <v>3.843</v>
      </c>
      <c r="M8" s="14" t="n">
        <f aca="false">M4*M6</f>
        <v>3.8857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2026-10-07T16:17:02Z</dcterms:created>
  <dc:creator>openpyxl</dc:creator>
  <dc:description/>
  <dc:language>en-US</dc:language>
  <cp:lastModifiedBy/>
  <dcterms:modified xsi:type="dcterms:W3CDTF">2026-10-07T15:04:18Z</dcterms:modified>
  <cp:revision>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