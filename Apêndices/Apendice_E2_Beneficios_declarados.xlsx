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Benefícios" sheetId="2" state="visible" r:id="rId4"/>
    <sheet name="Referê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<sst xmlns="http://schemas.openxmlformats.org/spreadsheetml/2006/main" count="130" uniqueCount="118">
  <si>
    <t xml:space="preserve">Apêndice E2 — Benefícios declarados pelos donos dos pilotos</t>
  </si>
  <si>
    <t xml:space="preserve">Grupo Meridiano · Levantamento de Finanças · respostas recebidas de ago a set/2026</t>
  </si>
  <si>
    <t xml:space="preserve">O que é</t>
  </si>
  <si>
    <t xml:space="preserve">Em ago/2026, junto com o congelamento de novos projetos, Finanças pediu a cada área responsável por uma iniciativa de IA uma estimativa do benefício anual gerado. Esta planilha reproduz as respostas como foram enviadas, com o cálculo de cada área. Finanças não validou os números.</t>
  </si>
  <si>
    <t xml:space="preserve">Abas</t>
  </si>
  <si>
    <t xml:space="preserve">Benefícios: benefício anual declarado por piloto, com a base, o valor unitário e o percentual atribuído à IA usados por cada área, e a evidência apresentada.</t>
  </si>
  <si>
    <t xml:space="preserve">Referências: indicadores do grupo e do marketplace informados por Finanças, para comparação.</t>
  </si>
  <si>
    <t xml:space="preserve">Como ler</t>
  </si>
  <si>
    <t xml:space="preserve">Benefício anual declarado = base anual × valor unitário × % atribuído à IA. Os textos das colunas "Como a área calculou" e "Evidência apresentada" reproduzem as respostas das áreas.</t>
  </si>
  <si>
    <t xml:space="preserve">Azul: valores informados pelas áreas ou por Finanças. Preto: fórmulas.</t>
  </si>
  <si>
    <t xml:space="preserve">Fonte</t>
  </si>
  <si>
    <t xml:space="preserve">Respostas das áreas responsáveis ao pedido de Finanças (ago/2026). Indicadores de referência: Finanças, últimos 12 meses (set/2025 a ago/2026).</t>
  </si>
  <si>
    <t xml:space="preserve">ID</t>
  </si>
  <si>
    <t xml:space="preserve">Piloto</t>
  </si>
  <si>
    <t xml:space="preserve">Área que declarou</t>
  </si>
  <si>
    <t xml:space="preserve">Tipo de benefício</t>
  </si>
  <si>
    <t xml:space="preserve">Métrica declarada</t>
  </si>
  <si>
    <t xml:space="preserve">Base anual</t>
  </si>
  <si>
    <t xml:space="preserve">Unidade da base</t>
  </si>
  <si>
    <t xml:space="preserve">Valor unitário (R$)</t>
  </si>
  <si>
    <t xml:space="preserve">Unidade do valor</t>
  </si>
  <si>
    <t xml:space="preserve">% atribuído à IA</t>
  </si>
  <si>
    <t xml:space="preserve">Benefício anual declarado (R$)</t>
  </si>
  <si>
    <t xml:space="preserve">Como a área calculou</t>
  </si>
  <si>
    <t xml:space="preserve">Evidência apresentada</t>
  </si>
  <si>
    <t xml:space="preserve">P01</t>
  </si>
  <si>
    <t xml:space="preserve">Agente de SAC com RAG</t>
  </si>
  <si>
    <t xml:space="preserve">Diretoria do Digital</t>
  </si>
  <si>
    <t xml:space="preserve">Custo evitado</t>
  </si>
  <si>
    <t xml:space="preserve">Atendimentos resolvidos sem humano</t>
  </si>
  <si>
    <t xml:space="preserve">contatos atendidos pelo agente por ano</t>
  </si>
  <si>
    <t xml:space="preserve">custo de um atendimento humano</t>
  </si>
  <si>
    <t xml:space="preserve">8% dos pedidos geram contato; 40% vão para o agente; 55% são resolvidos sem humano. Cada atendimento resolvido evita o custo de um atendimento humano.</t>
  </si>
  <si>
    <t xml:space="preserve">Painel do agente: taxa de transferência para humano de 45%.</t>
  </si>
  <si>
    <t xml:space="preserve">P02</t>
  </si>
  <si>
    <t xml:space="preserve">Recompra + campanhas personalizadas</t>
  </si>
  <si>
    <t xml:space="preserve">Diretoria do Digital (CRM)</t>
  </si>
  <si>
    <t xml:space="preserve">Receita incremental</t>
  </si>
  <si>
    <t xml:space="preserve">Compras de clientes que receberam campanha</t>
  </si>
  <si>
    <t xml:space="preserve">clientes impactados por ano (500 mil por mês)</t>
  </si>
  <si>
    <t xml:space="preserve">compras por cliente impactado (conversão de 2,0% × ticket médio de R$ 209)</t>
  </si>
  <si>
    <t xml:space="preserve">Todas as compras feitas por clientes que receberam a campanha em até 30 dias. A conversão desses clientes (2,0%) é mais que o dobro da média da base (0,9%).</t>
  </si>
  <si>
    <t xml:space="preserve">Planilha de acompanhamento das campanhas.</t>
  </si>
  <si>
    <t xml:space="preserve">P03</t>
  </si>
  <si>
    <t xml:space="preserve">Agente de tratativa de atrasos</t>
  </si>
  <si>
    <t xml:space="preserve">Diretoria de Logística</t>
  </si>
  <si>
    <t xml:space="preserve">Atrasos evitados</t>
  </si>
  <si>
    <t xml:space="preserve">pedidos que deixaram de atrasar por ano</t>
  </si>
  <si>
    <t xml:space="preserve">custo médio de um atraso (SAC, compensação e recompra perdida)</t>
  </si>
  <si>
    <t xml:space="preserve">O atraso caiu de 23% (mar/2026) para 6% (abr/2026) depois da entrada do agente. Diferença de 17 pontos aplicada aos 15,3 milhões de pedidos anuais.</t>
  </si>
  <si>
    <t xml:space="preserve">Painel de entregas: % de entregas com atraso por mês.</t>
  </si>
  <si>
    <t xml:space="preserve">P04</t>
  </si>
  <si>
    <t xml:space="preserve">App de escala de equipe</t>
  </si>
  <si>
    <t xml:space="preserve">TI corporativa, a partir de relato do criador</t>
  </si>
  <si>
    <t xml:space="preserve">Horas economizadas na montagem da escala</t>
  </si>
  <si>
    <t xml:space="preserve">horas por ano (45 lojas × 8 h por semana × 52 semanas)</t>
  </si>
  <si>
    <t xml:space="preserve">custo da hora do gerente de loja</t>
  </si>
  <si>
    <t xml:space="preserve">Cada loja levava cerca de um dia por semana para montar a escala em planilha; com o app, leva minutos.</t>
  </si>
  <si>
    <t xml:space="preserve">Relato do criador e de gerentes de loja; sem medição formal.</t>
  </si>
  <si>
    <t xml:space="preserve">P05</t>
  </si>
  <si>
    <t xml:space="preserve">Assistentes de IA de uso geral</t>
  </si>
  <si>
    <t xml:space="preserve">Sem área responsável</t>
  </si>
  <si>
    <t xml:space="preserve">—</t>
  </si>
  <si>
    <t xml:space="preserve">Não informado</t>
  </si>
  <si>
    <t xml:space="preserve">Não há área responsável para responder ao pedido.</t>
  </si>
  <si>
    <t xml:space="preserve">P06</t>
  </si>
  <si>
    <t xml:space="preserve">Modelo de crédito a sellers</t>
  </si>
  <si>
    <t xml:space="preserve">Diretoria de Serviços Financeiros</t>
  </si>
  <si>
    <t xml:space="preserve">Receita</t>
  </si>
  <si>
    <t xml:space="preserve">Receita de juros da carteira</t>
  </si>
  <si>
    <t xml:space="preserve">saldo médio da carteira (R$)</t>
  </si>
  <si>
    <t xml:space="preserve">taxa média de juros ao ano</t>
  </si>
  <si>
    <t xml:space="preserve">Toda a receita de juros da carteira de capital de giro e antecipação, porque todas as ofertas são calculadas pelo modelo.</t>
  </si>
  <si>
    <t xml:space="preserve">Relatório gerencial da carteira.</t>
  </si>
  <si>
    <t xml:space="preserve">P07</t>
  </si>
  <si>
    <t xml:space="preserve">Antifraude de pagamentos</t>
  </si>
  <si>
    <t xml:space="preserve">Perda evitada</t>
  </si>
  <si>
    <t xml:space="preserve">Fraudes evitadas</t>
  </si>
  <si>
    <t xml:space="preserve">transações bloqueadas por ano</t>
  </si>
  <si>
    <t xml:space="preserve">valor médio da transação bloqueada</t>
  </si>
  <si>
    <t xml:space="preserve">Todas as transações bloqueadas pela solução são consideradas fraudes evitadas.</t>
  </si>
  <si>
    <t xml:space="preserve">Relatório mensal do fornecedor.</t>
  </si>
  <si>
    <t xml:space="preserve">P08</t>
  </si>
  <si>
    <t xml:space="preserve">Assistente interno de RH e políticas</t>
  </si>
  <si>
    <t xml:space="preserve">TI corporativa</t>
  </si>
  <si>
    <t xml:space="preserve">Tempo do RH economizado</t>
  </si>
  <si>
    <t xml:space="preserve">consultas por ano</t>
  </si>
  <si>
    <t xml:space="preserve">5 minutos de um analista de RH (R$ 40 por hora)</t>
  </si>
  <si>
    <t xml:space="preserve">Cada consulta ao assistente substitui um contato com o RH.</t>
  </si>
  <si>
    <t xml:space="preserve">Logs de uso do assistente.</t>
  </si>
  <si>
    <t xml:space="preserve">Total declarado</t>
  </si>
  <si>
    <t xml:space="preserve">Total declarado ÷ lucro líquido do grupo</t>
  </si>
  <si>
    <t xml:space="preserve">Total declarado ÷ GMV do marketplace</t>
  </si>
  <si>
    <t xml:space="preserve">Indicadores de referência (Finanças, set/2025 a ago/2026)</t>
  </si>
  <si>
    <t xml:space="preserve">Indicador</t>
  </si>
  <si>
    <t xml:space="preserve">Valor</t>
  </si>
  <si>
    <t xml:space="preserve">Unidade</t>
  </si>
  <si>
    <t xml:space="preserve">Observação</t>
  </si>
  <si>
    <t xml:space="preserve">GMV do marketplace</t>
  </si>
  <si>
    <t xml:space="preserve">R$</t>
  </si>
  <si>
    <t xml:space="preserve">Soma do valor dos itens vendidos; não é receita do grupo</t>
  </si>
  <si>
    <t xml:space="preserve">Pedidos do marketplace</t>
  </si>
  <si>
    <t xml:space="preserve">pedidos</t>
  </si>
  <si>
    <t xml:space="preserve">Ticket médio do marketplace</t>
  </si>
  <si>
    <t xml:space="preserve">Comissão média do marketplace</t>
  </si>
  <si>
    <t xml:space="preserve">% do GMV</t>
  </si>
  <si>
    <t xml:space="preserve">Receita do grupo sobre as vendas de sellers</t>
  </si>
  <si>
    <t xml:space="preserve">Receita bruta do grupo</t>
  </si>
  <si>
    <t xml:space="preserve">Lucro líquido do grupo</t>
  </si>
  <si>
    <t xml:space="preserve">Margem líquida de cerca de 3%</t>
  </si>
  <si>
    <t xml:space="preserve">Custo de um atendimento humano no SAC</t>
  </si>
  <si>
    <t xml:space="preserve">R$ por contato</t>
  </si>
  <si>
    <t xml:space="preserve">Calculado por Finanças</t>
  </si>
  <si>
    <t xml:space="preserve">Quadro de atendentes do SAC</t>
  </si>
  <si>
    <t xml:space="preserve">Sem redução desde fev/2026</t>
  </si>
  <si>
    <t xml:space="preserve">Atendentes absorveram o crescimento de contatos; não houve desligamentos nem redução de terceirizados</t>
  </si>
  <si>
    <t xml:space="preserve">Saldo inadimplente da carteira de crédito (ago/2026)</t>
  </si>
  <si>
    <t xml:space="preserve">Apêndice F1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</si>
</sst>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%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26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6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35.0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23.8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23.8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10</v>
      </c>
    </row>
    <row r="16" customFormat="false" ht="23.85" hidden="false" customHeight="false" outlineLevel="0" collapsed="false">
      <c r="A16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32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60"/>
    <col collapsed="false" customWidth="true" hidden="false" outlineLevel="0" max="13" min="13" style="0" width="36"/>
  </cols>
  <sheetData>
    <row r="1" customFormat="false" ht="42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</row>
    <row r="2" customFormat="false" ht="35.05" hidden="false" customHeight="false" outlineLevel="0" collapsed="false">
      <c r="A2" s="5" t="s">
        <v>25</v>
      </c>
      <c r="B2" s="6" t="s">
        <v>26</v>
      </c>
      <c r="C2" s="6" t="s">
        <v>27</v>
      </c>
      <c r="D2" s="6" t="s">
        <v>28</v>
      </c>
      <c r="E2" s="6" t="s">
        <v>29</v>
      </c>
      <c r="F2" s="7" t="n">
        <v>489600</v>
      </c>
      <c r="G2" s="6" t="s">
        <v>30</v>
      </c>
      <c r="H2" s="8" t="n">
        <v>12</v>
      </c>
      <c r="I2" s="6" t="s">
        <v>31</v>
      </c>
      <c r="J2" s="9" t="n">
        <v>0.55</v>
      </c>
      <c r="K2" s="10" t="n">
        <f aca="false">F2*H2*J2</f>
        <v>3231360</v>
      </c>
      <c r="L2" s="6" t="s">
        <v>32</v>
      </c>
      <c r="M2" s="6" t="s">
        <v>33</v>
      </c>
    </row>
    <row r="3" customFormat="false" ht="35.05" hidden="false" customHeight="false" outlineLevel="0" collapsed="false">
      <c r="A3" s="5" t="s">
        <v>34</v>
      </c>
      <c r="B3" s="6" t="s">
        <v>35</v>
      </c>
      <c r="C3" s="6" t="s">
        <v>36</v>
      </c>
      <c r="D3" s="6" t="s">
        <v>37</v>
      </c>
      <c r="E3" s="6" t="s">
        <v>38</v>
      </c>
      <c r="F3" s="7" t="n">
        <v>6000000</v>
      </c>
      <c r="G3" s="6" t="s">
        <v>39</v>
      </c>
      <c r="H3" s="8" t="n">
        <v>4.18</v>
      </c>
      <c r="I3" s="6" t="s">
        <v>40</v>
      </c>
      <c r="J3" s="9" t="n">
        <v>1</v>
      </c>
      <c r="K3" s="10" t="n">
        <f aca="false">F3*H3*J3</f>
        <v>25080000</v>
      </c>
      <c r="L3" s="6" t="s">
        <v>41</v>
      </c>
      <c r="M3" s="6" t="s">
        <v>42</v>
      </c>
    </row>
    <row r="4" customFormat="false" ht="35.05" hidden="false" customHeight="false" outlineLevel="0" collapsed="false">
      <c r="A4" s="5" t="s">
        <v>43</v>
      </c>
      <c r="B4" s="6" t="s">
        <v>44</v>
      </c>
      <c r="C4" s="6" t="s">
        <v>45</v>
      </c>
      <c r="D4" s="6" t="s">
        <v>28</v>
      </c>
      <c r="E4" s="6" t="s">
        <v>46</v>
      </c>
      <c r="F4" s="7" t="n">
        <v>2601000</v>
      </c>
      <c r="G4" s="6" t="s">
        <v>47</v>
      </c>
      <c r="H4" s="8" t="n">
        <v>25</v>
      </c>
      <c r="I4" s="6" t="s">
        <v>48</v>
      </c>
      <c r="J4" s="9" t="n">
        <v>1</v>
      </c>
      <c r="K4" s="10" t="n">
        <f aca="false">F4*H4*J4</f>
        <v>65025000</v>
      </c>
      <c r="L4" s="6" t="s">
        <v>49</v>
      </c>
      <c r="M4" s="6" t="s">
        <v>50</v>
      </c>
    </row>
    <row r="5" customFormat="false" ht="23.85" hidden="false" customHeight="false" outlineLevel="0" collapsed="false">
      <c r="A5" s="5" t="s">
        <v>51</v>
      </c>
      <c r="B5" s="6" t="s">
        <v>52</v>
      </c>
      <c r="C5" s="6" t="s">
        <v>53</v>
      </c>
      <c r="D5" s="6" t="s">
        <v>28</v>
      </c>
      <c r="E5" s="6" t="s">
        <v>54</v>
      </c>
      <c r="F5" s="7" t="n">
        <v>18720</v>
      </c>
      <c r="G5" s="6" t="s">
        <v>55</v>
      </c>
      <c r="H5" s="8" t="n">
        <v>45</v>
      </c>
      <c r="I5" s="6" t="s">
        <v>56</v>
      </c>
      <c r="J5" s="9" t="n">
        <v>1</v>
      </c>
      <c r="K5" s="10" t="n">
        <f aca="false">F5*H5*J5</f>
        <v>842400</v>
      </c>
      <c r="L5" s="6" t="s">
        <v>57</v>
      </c>
      <c r="M5" s="6" t="s">
        <v>58</v>
      </c>
    </row>
    <row r="6" customFormat="false" ht="15" hidden="false" customHeight="false" outlineLevel="0" collapsed="false">
      <c r="A6" s="5" t="s">
        <v>59</v>
      </c>
      <c r="B6" s="6" t="s">
        <v>60</v>
      </c>
      <c r="C6" s="6" t="s">
        <v>61</v>
      </c>
      <c r="D6" s="6" t="s">
        <v>62</v>
      </c>
      <c r="E6" s="6" t="s">
        <v>63</v>
      </c>
      <c r="F6" s="7" t="n">
        <v>0</v>
      </c>
      <c r="G6" s="6" t="s">
        <v>62</v>
      </c>
      <c r="H6" s="8" t="n">
        <v>0</v>
      </c>
      <c r="I6" s="6" t="s">
        <v>62</v>
      </c>
      <c r="J6" s="9" t="n">
        <v>0</v>
      </c>
      <c r="K6" s="10" t="n">
        <f aca="false">F6*H6*J6</f>
        <v>0</v>
      </c>
      <c r="L6" s="6" t="s">
        <v>64</v>
      </c>
      <c r="M6" s="6" t="s">
        <v>62</v>
      </c>
    </row>
    <row r="7" customFormat="false" ht="23.85" hidden="false" customHeight="false" outlineLevel="0" collapsed="false">
      <c r="A7" s="5" t="s">
        <v>65</v>
      </c>
      <c r="B7" s="6" t="s">
        <v>66</v>
      </c>
      <c r="C7" s="6" t="s">
        <v>67</v>
      </c>
      <c r="D7" s="6" t="s">
        <v>68</v>
      </c>
      <c r="E7" s="6" t="s">
        <v>69</v>
      </c>
      <c r="F7" s="7" t="n">
        <v>52000000</v>
      </c>
      <c r="G7" s="6" t="s">
        <v>70</v>
      </c>
      <c r="H7" s="8" t="n">
        <v>0.3</v>
      </c>
      <c r="I7" s="6" t="s">
        <v>71</v>
      </c>
      <c r="J7" s="9" t="n">
        <v>1</v>
      </c>
      <c r="K7" s="10" t="n">
        <f aca="false">F7*H7*J7</f>
        <v>15600000</v>
      </c>
      <c r="L7" s="6" t="s">
        <v>72</v>
      </c>
      <c r="M7" s="6" t="s">
        <v>73</v>
      </c>
    </row>
    <row r="8" customFormat="false" ht="23.85" hidden="false" customHeight="false" outlineLevel="0" collapsed="false">
      <c r="A8" s="5" t="s">
        <v>74</v>
      </c>
      <c r="B8" s="6" t="s">
        <v>75</v>
      </c>
      <c r="C8" s="6" t="s">
        <v>67</v>
      </c>
      <c r="D8" s="6" t="s">
        <v>76</v>
      </c>
      <c r="E8" s="6" t="s">
        <v>77</v>
      </c>
      <c r="F8" s="7" t="n">
        <v>120000</v>
      </c>
      <c r="G8" s="6" t="s">
        <v>78</v>
      </c>
      <c r="H8" s="8" t="n">
        <v>250</v>
      </c>
      <c r="I8" s="6" t="s">
        <v>79</v>
      </c>
      <c r="J8" s="9" t="n">
        <v>1</v>
      </c>
      <c r="K8" s="10" t="n">
        <f aca="false">F8*H8*J8</f>
        <v>30000000</v>
      </c>
      <c r="L8" s="6" t="s">
        <v>80</v>
      </c>
      <c r="M8" s="6" t="s">
        <v>81</v>
      </c>
    </row>
    <row r="9" customFormat="false" ht="23.85" hidden="false" customHeight="false" outlineLevel="0" collapsed="false">
      <c r="A9" s="5" t="s">
        <v>82</v>
      </c>
      <c r="B9" s="6" t="s">
        <v>83</v>
      </c>
      <c r="C9" s="6" t="s">
        <v>84</v>
      </c>
      <c r="D9" s="6" t="s">
        <v>28</v>
      </c>
      <c r="E9" s="6" t="s">
        <v>85</v>
      </c>
      <c r="F9" s="7" t="n">
        <v>480000</v>
      </c>
      <c r="G9" s="6" t="s">
        <v>86</v>
      </c>
      <c r="H9" s="8" t="n">
        <v>3.33</v>
      </c>
      <c r="I9" s="6" t="s">
        <v>87</v>
      </c>
      <c r="J9" s="9" t="n">
        <v>1</v>
      </c>
      <c r="K9" s="10" t="n">
        <f aca="false">F9*H9*J9</f>
        <v>1598400</v>
      </c>
      <c r="L9" s="6" t="s">
        <v>88</v>
      </c>
      <c r="M9" s="6" t="s">
        <v>89</v>
      </c>
    </row>
    <row r="10" customFormat="false" ht="15" hidden="false" customHeight="false" outlineLevel="0" collapsed="false">
      <c r="B10" s="11" t="s">
        <v>90</v>
      </c>
      <c r="K10" s="12" t="n">
        <f aca="false">SUM(K2:K9)</f>
        <v>141377160</v>
      </c>
    </row>
    <row r="11" customFormat="false" ht="23.85" hidden="false" customHeight="false" outlineLevel="0" collapsed="false">
      <c r="B11" s="6" t="s">
        <v>91</v>
      </c>
      <c r="K11" s="13" t="n">
        <f aca="false">K10/Referências!B8</f>
        <v>0.392714333333333</v>
      </c>
    </row>
    <row r="12" customFormat="false" ht="23.85" hidden="false" customHeight="false" outlineLevel="0" collapsed="false">
      <c r="B12" s="6" t="s">
        <v>92</v>
      </c>
      <c r="K12" s="14" t="n">
        <f aca="false">K10/Referências!B3</f>
        <v>0.0441803625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5" t="s">
        <v>93</v>
      </c>
    </row>
    <row r="2" customFormat="false" ht="15" hidden="false" customHeight="false" outlineLevel="0" collapsed="false">
      <c r="A2" s="4" t="s">
        <v>94</v>
      </c>
      <c r="B2" s="4" t="s">
        <v>95</v>
      </c>
      <c r="C2" s="4" t="s">
        <v>96</v>
      </c>
      <c r="D2" s="4" t="s">
        <v>97</v>
      </c>
    </row>
    <row r="3" customFormat="false" ht="15" hidden="false" customHeight="false" outlineLevel="0" collapsed="false">
      <c r="A3" s="6" t="s">
        <v>98</v>
      </c>
      <c r="B3" s="16" t="n">
        <v>3200000000</v>
      </c>
      <c r="C3" s="6" t="s">
        <v>99</v>
      </c>
      <c r="D3" s="6" t="s">
        <v>100</v>
      </c>
    </row>
    <row r="4" customFormat="false" ht="15" hidden="false" customHeight="false" outlineLevel="0" collapsed="false">
      <c r="A4" s="6" t="s">
        <v>101</v>
      </c>
      <c r="B4" s="16" t="n">
        <v>15300000</v>
      </c>
      <c r="C4" s="6" t="s">
        <v>102</v>
      </c>
      <c r="D4" s="6"/>
    </row>
    <row r="5" customFormat="false" ht="15" hidden="false" customHeight="false" outlineLevel="0" collapsed="false">
      <c r="A5" s="6" t="s">
        <v>103</v>
      </c>
      <c r="B5" s="17" t="n">
        <f aca="false">B3/B4</f>
        <v>209.150326797386</v>
      </c>
      <c r="C5" s="6" t="s">
        <v>99</v>
      </c>
      <c r="D5" s="6"/>
    </row>
    <row r="6" customFormat="false" ht="15" hidden="false" customHeight="false" outlineLevel="0" collapsed="false">
      <c r="A6" s="6" t="s">
        <v>104</v>
      </c>
      <c r="B6" s="18" t="n">
        <v>0.12</v>
      </c>
      <c r="C6" s="6" t="s">
        <v>105</v>
      </c>
      <c r="D6" s="6" t="s">
        <v>106</v>
      </c>
    </row>
    <row r="7" customFormat="false" ht="15" hidden="false" customHeight="false" outlineLevel="0" collapsed="false">
      <c r="A7" s="6" t="s">
        <v>107</v>
      </c>
      <c r="B7" s="16" t="n">
        <v>12000000000</v>
      </c>
      <c r="C7" s="6" t="s">
        <v>99</v>
      </c>
      <c r="D7" s="6"/>
    </row>
    <row r="8" customFormat="false" ht="15" hidden="false" customHeight="false" outlineLevel="0" collapsed="false">
      <c r="A8" s="6" t="s">
        <v>108</v>
      </c>
      <c r="B8" s="16" t="n">
        <v>360000000</v>
      </c>
      <c r="C8" s="6" t="s">
        <v>99</v>
      </c>
      <c r="D8" s="6" t="s">
        <v>109</v>
      </c>
    </row>
    <row r="9" customFormat="false" ht="15" hidden="false" customHeight="false" outlineLevel="0" collapsed="false">
      <c r="A9" s="6" t="s">
        <v>110</v>
      </c>
      <c r="B9" s="16" t="n">
        <v>12</v>
      </c>
      <c r="C9" s="6" t="s">
        <v>111</v>
      </c>
      <c r="D9" s="6" t="s">
        <v>112</v>
      </c>
    </row>
    <row r="10" customFormat="false" ht="23.85" hidden="false" customHeight="false" outlineLevel="0" collapsed="false">
      <c r="A10" s="6" t="s">
        <v>113</v>
      </c>
      <c r="B10" s="16" t="s">
        <v>114</v>
      </c>
      <c r="C10" s="6" t="s">
        <v>62</v>
      </c>
      <c r="D10" s="6" t="s">
        <v>115</v>
      </c>
    </row>
    <row r="11" customFormat="false" ht="15" hidden="false" customHeight="false" outlineLevel="0" collapsed="false">
      <c r="A11" s="6" t="s">
        <v>116</v>
      </c>
      <c r="B11" s="16" t="n">
        <v>3900000</v>
      </c>
      <c r="C11" s="6" t="s">
        <v>99</v>
      </c>
      <c r="D11" s="6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2026-10-07T17:51:42Z</dcterms:created>
  <dc:creator>openpyxl</dc:creator>
  <dc:description/>
  <dc:language>en-US</dc:language>
  <cp:lastModifiedBy/>
  <dcterms:modified xsi:type="dcterms:W3CDTF">2026-10-07T17:51:42Z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