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Volumes" sheetId="3" state="visible" r:id="rId5"/>
    <sheet name="Parâmetros" sheetId="4" state="visible" r:id="rId6"/>
    <sheet name="Custos" sheetId="5" state="visible" r:id="rId7"/>
    <sheet name="Gráfic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<sst xmlns="http://schemas.openxmlformats.org/spreadsheetml/2006/main" count="231" uniqueCount="127">
  <si>
    <t xml:space="preserve">Apêndice E1 — Custos mensais de IA por piloto</t>
  </si>
  <si>
    <t xml:space="preserve">Grupo Meridiano · set/2025 a ago/2026 · valores em R$</t>
  </si>
  <si>
    <t xml:space="preserve">O que é</t>
  </si>
  <si>
    <t xml:space="preserve">Estimativa do gasto mensal com IA de cada piloto do inventário (Apêndice A1), reconstruída pela área de Finanças a partir de faturas de nuvem, contratos de fornecedores, faturas de cartão corporativo e métricas de uso. Inclui uma linha de recursos de nuvem sem piloto atribuído.</t>
  </si>
  <si>
    <t xml:space="preserve">Estrutura</t>
  </si>
  <si>
    <t xml:space="preserve">Premissas: câmbio, fator de escala e tabela de preços dos modelos de linguagem.</t>
  </si>
  <si>
    <t xml:space="preserve">Volumes: volumes mensais que puxam o custo variável de cada piloto.</t>
  </si>
  <si>
    <t xml:space="preserve">Parâmetros: como cada piloto consome (tokens por unidade, custo unitário, custo fixo, mês de início).</t>
  </si>
  <si>
    <t xml:space="preserve">Custos: cálculo mês a mês, separado em custo variável e custo fixo, com totais por piloto e por unidade.</t>
  </si>
  <si>
    <t xml:space="preserve">Gráfico: gasto mensal por unidade.</t>
  </si>
  <si>
    <t xml:space="preserve">Convenções</t>
  </si>
  <si>
    <t xml:space="preserve">Azul: valores de entrada. Preto: fórmulas. Alterar uma premissa recalcula todo o arquivo.</t>
  </si>
  <si>
    <t xml:space="preserve">Custo variável = volume × taxa de uso × (tokens de entrada × preço de entrada + tokens de saída × preço de saída) ÷ 1.000.000 × câmbio, mais custo unitário (ex.: assinatura por usuário).</t>
  </si>
  <si>
    <t xml:space="preserve">Custo fixo = infraestrutura, licenças e contratos mensais do piloto.</t>
  </si>
  <si>
    <t xml:space="preserve">Fontes</t>
  </si>
  <si>
    <t xml:space="preserve">Preços dos modelos: faixas de preço publicadas na página oficial de preços da API Gemini (Google), consultada em 07/10/2026, usadas como referência de mercado para os três portes de modelo. Os provedores X e Y do inventário são tratados com a mesma tabela.</t>
  </si>
  <si>
    <t xml:space="preserve">Câmbio: referência de cotações do dólar comercial em set/2026.</t>
  </si>
  <si>
    <t xml:space="preserve">Volumes de pedidos e de atrasos: base amostral de pedidos do marketplace × fator de escala. Dados adaptados da base pública da Olist (licença MIT).</t>
  </si>
  <si>
    <t xml:space="preserve">Premissas gerais</t>
  </si>
  <si>
    <t xml:space="preserve">Câmbio (R$ por US$)</t>
  </si>
  <si>
    <t xml:space="preserve">Referência de set/2026.</t>
  </si>
  <si>
    <t xml:space="preserve">Fator de escala (empresa ÷ amostra)</t>
  </si>
  <si>
    <t xml:space="preserve">A base amostral corresponde a 0,5% dos pedidos.</t>
  </si>
  <si>
    <t xml:space="preserve">Preços de modelos de linguagem (US$ por 1 milhão de tokens)</t>
  </si>
  <si>
    <t xml:space="preserve">Porte</t>
  </si>
  <si>
    <t xml:space="preserve">Código</t>
  </si>
  <si>
    <t xml:space="preserve">Entrada</t>
  </si>
  <si>
    <t xml:space="preserve">Saída</t>
  </si>
  <si>
    <t xml:space="preserve">Referência de mercado (07/10/2026)</t>
  </si>
  <si>
    <t xml:space="preserve">Fronteira</t>
  </si>
  <si>
    <t xml:space="preserve">F</t>
  </si>
  <si>
    <t xml:space="preserve">Gemini 3.1 Pro, prompts até 200 mil tokens</t>
  </si>
  <si>
    <t xml:space="preserve">Intermediário</t>
  </si>
  <si>
    <t xml:space="preserve">I</t>
  </si>
  <si>
    <t xml:space="preserve">Gemini 3.8 Flash, preço válido até 31/12/2026; passa a US$ 1,50 / US$ 7,50 em 01/01/2027</t>
  </si>
  <si>
    <t xml:space="preserve">Leve</t>
  </si>
  <si>
    <t xml:space="preserve">L</t>
  </si>
  <si>
    <t xml:space="preserve">Gemini 3.1 Flash-Lite</t>
  </si>
  <si>
    <t xml:space="preserve">Volumes mensais</t>
  </si>
  <si>
    <t xml:space="preserve">Chave</t>
  </si>
  <si>
    <t xml:space="preserve">Descrição</t>
  </si>
  <si>
    <t xml:space="preserve">set/25</t>
  </si>
  <si>
    <t xml:space="preserve">out/25</t>
  </si>
  <si>
    <t xml:space="preserve">nov/25</t>
  </si>
  <si>
    <t xml:space="preserve">dez/25</t>
  </si>
  <si>
    <t xml:space="preserve">jan/26</t>
  </si>
  <si>
    <t xml:space="preserve">fev/26</t>
  </si>
  <si>
    <t xml:space="preserve">mar/26</t>
  </si>
  <si>
    <t xml:space="preserve">abr/26</t>
  </si>
  <si>
    <t xml:space="preserve">mai/26</t>
  </si>
  <si>
    <t xml:space="preserve">jun/26</t>
  </si>
  <si>
    <t xml:space="preserve">jul/26</t>
  </si>
  <si>
    <t xml:space="preserve">ago/26</t>
  </si>
  <si>
    <t xml:space="preserve">pedidos_amostra</t>
  </si>
  <si>
    <t xml:space="preserve">Pedidos na amostra</t>
  </si>
  <si>
    <t xml:space="preserve">atrasados_amostra</t>
  </si>
  <si>
    <t xml:space="preserve">Pedidos entregues com atraso na amostra</t>
  </si>
  <si>
    <t xml:space="preserve">Volumes da empresa (direcionadores de custo)</t>
  </si>
  <si>
    <t xml:space="preserve">pedidos</t>
  </si>
  <si>
    <t xml:space="preserve">Pedidos do marketplace</t>
  </si>
  <si>
    <t xml:space="preserve">atrasados</t>
  </si>
  <si>
    <t xml:space="preserve">Pedidos entregues com atraso</t>
  </si>
  <si>
    <t xml:space="preserve">clientes_campanha</t>
  </si>
  <si>
    <t xml:space="preserve">Clientes impactados por campanhas personalizadas</t>
  </si>
  <si>
    <t xml:space="preserve">consultas_rh</t>
  </si>
  <si>
    <t xml:space="preserve">Consultas ao assistente de RH</t>
  </si>
  <si>
    <t xml:space="preserve">assentos_gerais</t>
  </si>
  <si>
    <t xml:space="preserve">Assinaturas individuais de IA (cartão corporativo)</t>
  </si>
  <si>
    <t xml:space="preserve">fixo</t>
  </si>
  <si>
    <t xml:space="preserve">Sem volume (apenas custo fixo)</t>
  </si>
  <si>
    <t xml:space="preserve">Volumes de campanhas, consultas de RH e assinaturas: registros internos das áreas responsáveis.</t>
  </si>
  <si>
    <t xml:space="preserve">ID</t>
  </si>
  <si>
    <t xml:space="preserve">Piloto</t>
  </si>
  <si>
    <t xml:space="preserve">Unidade</t>
  </si>
  <si>
    <t xml:space="preserve">Direcionador (chave em Volumes)</t>
  </si>
  <si>
    <t xml:space="preserve">Taxa de uso sobre o volume</t>
  </si>
  <si>
    <t xml:space="preserve">Tokens de entrada por unidade</t>
  </si>
  <si>
    <t xml:space="preserve">Tokens de saída por unidade</t>
  </si>
  <si>
    <t xml:space="preserve">Porte do modelo</t>
  </si>
  <si>
    <t xml:space="preserve">Custo unitário (R$)</t>
  </si>
  <si>
    <t xml:space="preserve">Custo fixo mensal (R$)</t>
  </si>
  <si>
    <t xml:space="preserve">Início da cobrança</t>
  </si>
  <si>
    <t xml:space="preserve">Notas</t>
  </si>
  <si>
    <t xml:space="preserve">P01</t>
  </si>
  <si>
    <t xml:space="preserve">Agente de SAC com RAG</t>
  </si>
  <si>
    <t xml:space="preserve">Marketplace e e-commerce</t>
  </si>
  <si>
    <t xml:space="preserve">Taxa = 8% dos pedidos geram contato no SAC × 40% atendidos pelo agente. Tokens por conversa medidos nos logs (média de 6 trocas).</t>
  </si>
  <si>
    <t xml:space="preserve">P02</t>
  </si>
  <si>
    <t xml:space="preserve">Recompra + campanhas personalizadas</t>
  </si>
  <si>
    <t xml:space="preserve">Custo fixo: treino e execução mensal do modelo de propensão na Nuvem A.</t>
  </si>
  <si>
    <t xml:space="preserve">P03</t>
  </si>
  <si>
    <t xml:space="preserve">Agente de tratativa de atrasos</t>
  </si>
  <si>
    <t xml:space="preserve">Logística</t>
  </si>
  <si>
    <t xml:space="preserve">Uma execução por pedido atrasado; média de 8 etapas por execução, medida nos logs da plataforma W. Custo fixo: licença da plataforma W (a consultoria é contratada à parte, fora desta planilha).</t>
  </si>
  <si>
    <t xml:space="preserve">P04</t>
  </si>
  <si>
    <t xml:space="preserve">App de escala de equipe</t>
  </si>
  <si>
    <t xml:space="preserve">Lojas físicas</t>
  </si>
  <si>
    <t xml:space="preserve">Hospedagem em conta pessoal paga com cartão corporativo.</t>
  </si>
  <si>
    <t xml:space="preserve">P05</t>
  </si>
  <si>
    <t xml:space="preserve">Assistentes de IA de uso geral</t>
  </si>
  <si>
    <t xml:space="preserve">Lojas físicas e áreas corporativas</t>
  </si>
  <si>
    <t xml:space="preserve">Assinaturas identificadas nas faturas de cartão corporativo.</t>
  </si>
  <si>
    <t xml:space="preserve">P06</t>
  </si>
  <si>
    <t xml:space="preserve">Modelo de crédito a sellers</t>
  </si>
  <si>
    <t xml:space="preserve">Serviços financeiros</t>
  </si>
  <si>
    <t xml:space="preserve">Treino, execução mensal e armazenamento na Nuvem B.</t>
  </si>
  <si>
    <t xml:space="preserve">P07</t>
  </si>
  <si>
    <t xml:space="preserve">Antifraude de pagamentos</t>
  </si>
  <si>
    <t xml:space="preserve">Contrato mensal do fornecedor.</t>
  </si>
  <si>
    <t xml:space="preserve">P08</t>
  </si>
  <si>
    <t xml:space="preserve">Assistente interno de RH e políticas</t>
  </si>
  <si>
    <t xml:space="preserve">Corporativo</t>
  </si>
  <si>
    <t xml:space="preserve">Infraestrutura na Nuvem B e banco vetorial próprio.</t>
  </si>
  <si>
    <t xml:space="preserve">X1</t>
  </si>
  <si>
    <t xml:space="preserve">Recursos de nuvem sem piloto atribuído</t>
  </si>
  <si>
    <t xml:space="preserve">Não atribuído</t>
  </si>
  <si>
    <t xml:space="preserve">Ambientes de desenvolvimento e teste e máquinas com GPU sem piloto associado, identificados na fatura da Nuvem A a partir de abr/2026.</t>
  </si>
  <si>
    <t xml:space="preserve">Custos mensais de IA (R$)</t>
  </si>
  <si>
    <t xml:space="preserve">Mês de referência</t>
  </si>
  <si>
    <t xml:space="preserve">Custo variável (tokens e assinaturas por usuário)</t>
  </si>
  <si>
    <t xml:space="preserve">Total 12 meses</t>
  </si>
  <si>
    <t xml:space="preserve">Total</t>
  </si>
  <si>
    <t xml:space="preserve">Custo fixo (infraestrutura, licenças e contratos)</t>
  </si>
  <si>
    <t xml:space="preserve">Custo total por piloto</t>
  </si>
  <si>
    <t xml:space="preserve">Total geral</t>
  </si>
  <si>
    <t xml:space="preserve">Custo total por unidade</t>
  </si>
  <si>
    <t xml:space="preserve">Conferência (deve ser zero)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</si>
</sst>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#,##0"/>
    <numFmt numFmtId="168" formatCode="0.0%"/>
    <numFmt numFmtId="169" formatCode="mmm/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26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0A5E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5A3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4545"/>
      <rgbColor rgb="FF666699"/>
      <rgbColor rgb="FF8C8C8C"/>
      <rgbColor rgb="FF003366"/>
      <rgbColor rgb="FF5B8C6E"/>
      <rgbColor rgb="FF003300"/>
      <rgbColor rgb="FF333300"/>
      <rgbColor rgb="FF993300"/>
      <rgbColor rgb="FF993366"/>
      <rgbColor rgb="FF333399"/>
      <rgbColor rgb="FF2E2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 mensal com IA por unidade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Custos!$B$47</c:f>
              <c:strCache>
                <c:ptCount val="1"/>
                <c:pt idx="0">
                  <c:v>Marketplace e e-commerce</c:v>
                </c:pt>
              </c:strCache>
            </c:strRef>
          </c:tx>
          <c:spPr>
            <a:solidFill>
              <a:srgbClr val="2e2640"/>
            </a:solidFill>
            <a:ln w="0">
              <a:solidFill>
                <a:srgbClr val="2e264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Custos!$D$4:$O$4</c:f>
              <c:strCache>
                <c:ptCount val="12"/>
                <c:pt idx="0">
                  <c:v>set/25</c:v>
                </c:pt>
                <c:pt idx="1">
                  <c:v>out/25</c:v>
                </c:pt>
                <c:pt idx="2">
                  <c:v>nov/25</c:v>
                </c:pt>
                <c:pt idx="3">
                  <c:v>dez/25</c:v>
                </c:pt>
                <c:pt idx="4">
                  <c:v>jan/26</c:v>
                </c:pt>
                <c:pt idx="5">
                  <c:v>fev/26</c:v>
                </c:pt>
                <c:pt idx="6">
                  <c:v>mar/26</c:v>
                </c:pt>
                <c:pt idx="7">
                  <c:v>abr/26</c:v>
                </c:pt>
                <c:pt idx="8">
                  <c:v>mai/26</c:v>
                </c:pt>
                <c:pt idx="9">
                  <c:v>jun/26</c:v>
                </c:pt>
                <c:pt idx="10">
                  <c:v>jul/26</c:v>
                </c:pt>
                <c:pt idx="11">
                  <c:v>ago/26</c:v>
                </c:pt>
              </c:strCache>
            </c:strRef>
          </c:cat>
          <c:val>
            <c:numRef>
              <c:f>Custos!$D$47:$O$47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17793.75</c:v>
                </c:pt>
                <c:pt idx="3">
                  <c:v>17793.75</c:v>
                </c:pt>
                <c:pt idx="4">
                  <c:v>17793.75</c:v>
                </c:pt>
                <c:pt idx="5">
                  <c:v>113051.817456</c:v>
                </c:pt>
                <c:pt idx="6">
                  <c:v>127327.558128</c:v>
                </c:pt>
                <c:pt idx="7">
                  <c:v>117754.866672</c:v>
                </c:pt>
                <c:pt idx="8">
                  <c:v>121163.61624</c:v>
                </c:pt>
                <c:pt idx="9">
                  <c:v>106375.281648</c:v>
                </c:pt>
                <c:pt idx="10">
                  <c:v>107631.136752</c:v>
                </c:pt>
                <c:pt idx="11">
                  <c:v>124918.366704</c:v>
                </c:pt>
              </c:numCache>
            </c:numRef>
          </c:val>
        </c:ser>
        <c:ser>
          <c:idx val="1"/>
          <c:order val="1"/>
          <c:tx>
            <c:strRef>
              <c:f>Custos!$B$48</c:f>
              <c:strCache>
                <c:ptCount val="1"/>
                <c:pt idx="0">
                  <c:v>Logística</c:v>
                </c:pt>
              </c:strCache>
            </c:strRef>
          </c:tx>
          <c:spPr>
            <a:solidFill>
              <a:srgbClr val="90a5e5"/>
            </a:solidFill>
            <a:ln w="0">
              <a:solidFill>
                <a:srgbClr val="90a5e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Custos!$D$4:$O$4</c:f>
              <c:strCache>
                <c:ptCount val="12"/>
                <c:pt idx="0">
                  <c:v>set/25</c:v>
                </c:pt>
                <c:pt idx="1">
                  <c:v>out/25</c:v>
                </c:pt>
                <c:pt idx="2">
                  <c:v>nov/25</c:v>
                </c:pt>
                <c:pt idx="3">
                  <c:v>dez/25</c:v>
                </c:pt>
                <c:pt idx="4">
                  <c:v>jan/26</c:v>
                </c:pt>
                <c:pt idx="5">
                  <c:v>fev/26</c:v>
                </c:pt>
                <c:pt idx="6">
                  <c:v>mar/26</c:v>
                </c:pt>
                <c:pt idx="7">
                  <c:v>abr/26</c:v>
                </c:pt>
                <c:pt idx="8">
                  <c:v>mai/26</c:v>
                </c:pt>
                <c:pt idx="9">
                  <c:v>jun/26</c:v>
                </c:pt>
                <c:pt idx="10">
                  <c:v>jul/26</c:v>
                </c:pt>
                <c:pt idx="11">
                  <c:v>ago/26</c:v>
                </c:pt>
              </c:strCache>
            </c:strRef>
          </c:cat>
          <c:val>
            <c:numRef>
              <c:f>Custos!$D$48:$O$48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261144</c:v>
                </c:pt>
                <c:pt idx="7">
                  <c:v>72184.32</c:v>
                </c:pt>
                <c:pt idx="8">
                  <c:v>96657.12</c:v>
                </c:pt>
                <c:pt idx="9">
                  <c:v>20272.32</c:v>
                </c:pt>
                <c:pt idx="10">
                  <c:v>38070.72</c:v>
                </c:pt>
                <c:pt idx="11">
                  <c:v>119350.08</c:v>
                </c:pt>
              </c:numCache>
            </c:numRef>
          </c:val>
        </c:ser>
        <c:ser>
          <c:idx val="2"/>
          <c:order val="2"/>
          <c:tx>
            <c:strRef>
              <c:f>Custos!$B$49</c:f>
              <c:strCache>
                <c:ptCount val="1"/>
                <c:pt idx="0">
                  <c:v>Lojas físicas</c:v>
                </c:pt>
              </c:strCache>
            </c:strRef>
          </c:tx>
          <c:spPr>
            <a:solidFill>
              <a:srgbClr val="90c5a3"/>
            </a:solidFill>
            <a:ln w="0">
              <a:solidFill>
                <a:srgbClr val="90c5a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Custos!$D$4:$O$4</c:f>
              <c:strCache>
                <c:ptCount val="12"/>
                <c:pt idx="0">
                  <c:v>set/25</c:v>
                </c:pt>
                <c:pt idx="1">
                  <c:v>out/25</c:v>
                </c:pt>
                <c:pt idx="2">
                  <c:v>nov/25</c:v>
                </c:pt>
                <c:pt idx="3">
                  <c:v>dez/25</c:v>
                </c:pt>
                <c:pt idx="4">
                  <c:v>jan/26</c:v>
                </c:pt>
                <c:pt idx="5">
                  <c:v>fev/26</c:v>
                </c:pt>
                <c:pt idx="6">
                  <c:v>mar/26</c:v>
                </c:pt>
                <c:pt idx="7">
                  <c:v>abr/26</c:v>
                </c:pt>
                <c:pt idx="8">
                  <c:v>mai/26</c:v>
                </c:pt>
                <c:pt idx="9">
                  <c:v>jun/26</c:v>
                </c:pt>
                <c:pt idx="10">
                  <c:v>jul/26</c:v>
                </c:pt>
                <c:pt idx="11">
                  <c:v>ago/26</c:v>
                </c:pt>
              </c:strCache>
            </c:strRef>
          </c:cat>
          <c:val>
            <c:numRef>
              <c:f>Custos!$D$49:$O$49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</c:numCache>
            </c:numRef>
          </c:val>
        </c:ser>
        <c:ser>
          <c:idx val="3"/>
          <c:order val="3"/>
          <c:tx>
            <c:strRef>
              <c:f>Custos!$B$50</c:f>
              <c:strCache>
                <c:ptCount val="1"/>
                <c:pt idx="0">
                  <c:v>Lojas físicas e áreas corporativas</c:v>
                </c:pt>
              </c:strCache>
            </c:strRef>
          </c:tx>
          <c:spPr>
            <a:solidFill>
              <a:srgbClr val="5b8c6e"/>
            </a:solidFill>
            <a:ln w="0">
              <a:solidFill>
                <a:srgbClr val="5b8c6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Custos!$D$4:$O$4</c:f>
              <c:strCache>
                <c:ptCount val="12"/>
                <c:pt idx="0">
                  <c:v>set/25</c:v>
                </c:pt>
                <c:pt idx="1">
                  <c:v>out/25</c:v>
                </c:pt>
                <c:pt idx="2">
                  <c:v>nov/25</c:v>
                </c:pt>
                <c:pt idx="3">
                  <c:v>dez/25</c:v>
                </c:pt>
                <c:pt idx="4">
                  <c:v>jan/26</c:v>
                </c:pt>
                <c:pt idx="5">
                  <c:v>fev/26</c:v>
                </c:pt>
                <c:pt idx="6">
                  <c:v>mar/26</c:v>
                </c:pt>
                <c:pt idx="7">
                  <c:v>abr/26</c:v>
                </c:pt>
                <c:pt idx="8">
                  <c:v>mai/26</c:v>
                </c:pt>
                <c:pt idx="9">
                  <c:v>jun/26</c:v>
                </c:pt>
                <c:pt idx="10">
                  <c:v>jul/26</c:v>
                </c:pt>
                <c:pt idx="11">
                  <c:v>ago/26</c:v>
                </c:pt>
              </c:strCache>
            </c:strRef>
          </c:cat>
          <c:val>
            <c:numRef>
              <c:f>Custos!$D$50:$O$50</c:f>
              <c:numCache>
                <c:formatCode>#,##0</c:formatCode>
                <c:ptCount val="12"/>
                <c:pt idx="0">
                  <c:v>13200</c:v>
                </c:pt>
                <c:pt idx="1">
                  <c:v>16170</c:v>
                </c:pt>
                <c:pt idx="2">
                  <c:v>19250</c:v>
                </c:pt>
                <c:pt idx="3">
                  <c:v>22220</c:v>
                </c:pt>
                <c:pt idx="4">
                  <c:v>25190</c:v>
                </c:pt>
                <c:pt idx="5">
                  <c:v>28160</c:v>
                </c:pt>
                <c:pt idx="6">
                  <c:v>31240</c:v>
                </c:pt>
                <c:pt idx="7">
                  <c:v>34210</c:v>
                </c:pt>
                <c:pt idx="8">
                  <c:v>37180</c:v>
                </c:pt>
                <c:pt idx="9">
                  <c:v>40150</c:v>
                </c:pt>
                <c:pt idx="10">
                  <c:v>43230</c:v>
                </c:pt>
                <c:pt idx="11">
                  <c:v>46200</c:v>
                </c:pt>
              </c:numCache>
            </c:numRef>
          </c:val>
        </c:ser>
        <c:ser>
          <c:idx val="4"/>
          <c:order val="4"/>
          <c:tx>
            <c:strRef>
              <c:f>Custos!$B$51</c:f>
              <c:strCache>
                <c:ptCount val="1"/>
                <c:pt idx="0">
                  <c:v>Serviços financeiros</c:v>
                </c:pt>
              </c:strCache>
            </c:strRef>
          </c:tx>
          <c:spPr>
            <a:solidFill>
              <a:srgbClr val="ff4545"/>
            </a:solidFill>
            <a:ln w="0">
              <a:solidFill>
                <a:srgbClr val="ff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Custos!$D$4:$O$4</c:f>
              <c:strCache>
                <c:ptCount val="12"/>
                <c:pt idx="0">
                  <c:v>set/25</c:v>
                </c:pt>
                <c:pt idx="1">
                  <c:v>out/25</c:v>
                </c:pt>
                <c:pt idx="2">
                  <c:v>nov/25</c:v>
                </c:pt>
                <c:pt idx="3">
                  <c:v>dez/25</c:v>
                </c:pt>
                <c:pt idx="4">
                  <c:v>jan/26</c:v>
                </c:pt>
                <c:pt idx="5">
                  <c:v>fev/26</c:v>
                </c:pt>
                <c:pt idx="6">
                  <c:v>mar/26</c:v>
                </c:pt>
                <c:pt idx="7">
                  <c:v>abr/26</c:v>
                </c:pt>
                <c:pt idx="8">
                  <c:v>mai/26</c:v>
                </c:pt>
                <c:pt idx="9">
                  <c:v>jun/26</c:v>
                </c:pt>
                <c:pt idx="10">
                  <c:v>jul/26</c:v>
                </c:pt>
                <c:pt idx="11">
                  <c:v>ago/26</c:v>
                </c:pt>
              </c:strCache>
            </c:strRef>
          </c:cat>
          <c:val>
            <c:numRef>
              <c:f>Custos!$D$51:$O$51</c:f>
              <c:numCache>
                <c:formatCode>#,##0</c:formatCode>
                <c:ptCount val="12"/>
                <c:pt idx="0">
                  <c:v>130000</c:v>
                </c:pt>
                <c:pt idx="1">
                  <c:v>130000</c:v>
                </c:pt>
                <c:pt idx="2">
                  <c:v>130000</c:v>
                </c:pt>
                <c:pt idx="3">
                  <c:v>130000</c:v>
                </c:pt>
                <c:pt idx="4">
                  <c:v>130000</c:v>
                </c:pt>
                <c:pt idx="5">
                  <c:v>130000</c:v>
                </c:pt>
                <c:pt idx="6">
                  <c:v>130000</c:v>
                </c:pt>
                <c:pt idx="7">
                  <c:v>130000</c:v>
                </c:pt>
                <c:pt idx="8">
                  <c:v>130000</c:v>
                </c:pt>
                <c:pt idx="9">
                  <c:v>130000</c:v>
                </c:pt>
                <c:pt idx="10">
                  <c:v>130000</c:v>
                </c:pt>
                <c:pt idx="11">
                  <c:v>130000</c:v>
                </c:pt>
              </c:numCache>
            </c:numRef>
          </c:val>
        </c:ser>
        <c:ser>
          <c:idx val="5"/>
          <c:order val="5"/>
          <c:tx>
            <c:strRef>
              <c:f>Custos!$B$52</c:f>
              <c:strCache>
                <c:ptCount val="1"/>
                <c:pt idx="0">
                  <c:v>Corporativo</c:v>
                </c:pt>
              </c:strCache>
            </c:strRef>
          </c:tx>
          <c:spPr>
            <a:solidFill>
              <a:srgbClr val="8c8c8c"/>
            </a:solidFill>
            <a:ln w="0">
              <a:solidFill>
                <a:srgbClr val="8c8c8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Custos!$D$4:$O$4</c:f>
              <c:strCache>
                <c:ptCount val="12"/>
                <c:pt idx="0">
                  <c:v>set/25</c:v>
                </c:pt>
                <c:pt idx="1">
                  <c:v>out/25</c:v>
                </c:pt>
                <c:pt idx="2">
                  <c:v>nov/25</c:v>
                </c:pt>
                <c:pt idx="3">
                  <c:v>dez/25</c:v>
                </c:pt>
                <c:pt idx="4">
                  <c:v>jan/26</c:v>
                </c:pt>
                <c:pt idx="5">
                  <c:v>fev/26</c:v>
                </c:pt>
                <c:pt idx="6">
                  <c:v>mar/26</c:v>
                </c:pt>
                <c:pt idx="7">
                  <c:v>abr/26</c:v>
                </c:pt>
                <c:pt idx="8">
                  <c:v>mai/26</c:v>
                </c:pt>
                <c:pt idx="9">
                  <c:v>jun/26</c:v>
                </c:pt>
                <c:pt idx="10">
                  <c:v>jul/26</c:v>
                </c:pt>
                <c:pt idx="11">
                  <c:v>ago/26</c:v>
                </c:pt>
              </c:strCache>
            </c:strRef>
          </c:cat>
          <c:val>
            <c:numRef>
              <c:f>Custos!$D$52:$O$52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13356</c:v>
                </c:pt>
                <c:pt idx="9">
                  <c:v>13356</c:v>
                </c:pt>
                <c:pt idx="10">
                  <c:v>13356</c:v>
                </c:pt>
                <c:pt idx="11">
                  <c:v>13356</c:v>
                </c:pt>
              </c:numCache>
            </c:numRef>
          </c:val>
        </c:ser>
        <c:ser>
          <c:idx val="6"/>
          <c:order val="6"/>
          <c:tx>
            <c:strRef>
              <c:f>Custos!$B$53</c:f>
              <c:strCache>
                <c:ptCount val="1"/>
                <c:pt idx="0">
                  <c:v>Não atribuído</c:v>
                </c:pt>
              </c:strCache>
            </c:strRef>
          </c:tx>
          <c:spPr>
            <a:solidFill>
              <a:srgbClr val="c9a227"/>
            </a:solidFill>
            <a:ln w="0">
              <a:solidFill>
                <a:srgbClr val="c9a2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Custos!$D$4:$O$4</c:f>
              <c:strCache>
                <c:ptCount val="12"/>
                <c:pt idx="0">
                  <c:v>set/25</c:v>
                </c:pt>
                <c:pt idx="1">
                  <c:v>out/25</c:v>
                </c:pt>
                <c:pt idx="2">
                  <c:v>nov/25</c:v>
                </c:pt>
                <c:pt idx="3">
                  <c:v>dez/25</c:v>
                </c:pt>
                <c:pt idx="4">
                  <c:v>jan/26</c:v>
                </c:pt>
                <c:pt idx="5">
                  <c:v>fev/26</c:v>
                </c:pt>
                <c:pt idx="6">
                  <c:v>mar/26</c:v>
                </c:pt>
                <c:pt idx="7">
                  <c:v>abr/26</c:v>
                </c:pt>
                <c:pt idx="8">
                  <c:v>mai/26</c:v>
                </c:pt>
                <c:pt idx="9">
                  <c:v>jun/26</c:v>
                </c:pt>
                <c:pt idx="10">
                  <c:v>jul/26</c:v>
                </c:pt>
                <c:pt idx="11">
                  <c:v>ago/26</c:v>
                </c:pt>
              </c:strCache>
            </c:strRef>
          </c:cat>
          <c:val>
            <c:numRef>
              <c:f>Custos!$D$53:$O$53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85000</c:v>
                </c:pt>
                <c:pt idx="8">
                  <c:v>85000</c:v>
                </c:pt>
                <c:pt idx="9">
                  <c:v>85000</c:v>
                </c:pt>
                <c:pt idx="10">
                  <c:v>85000</c:v>
                </c:pt>
                <c:pt idx="11">
                  <c:v>85000</c:v>
                </c:pt>
              </c:numCache>
            </c:numRef>
          </c:val>
        </c:ser>
        <c:gapWidth val="150"/>
        <c:overlap val="100"/>
        <c:axId val="83359432"/>
        <c:axId val="20421258"/>
      </c:barChart>
      <c:catAx>
        <c:axId val="83359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21258"/>
        <c:crosses val="autoZero"/>
        <c:auto val="1"/>
        <c:lblAlgn val="ctr"/>
        <c:lblOffset val="100"/>
        <c:noMultiLvlLbl val="0"/>
      </c:catAx>
      <c:valAx>
        <c:axId val="204212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594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187200</xdr:colOff>
      <xdr:row>22</xdr:row>
      <xdr:rowOff>128520</xdr:rowOff>
    </xdr:to>
    <xdr:graphicFrame>
      <xdr:nvGraphicFramePr>
        <xdr:cNvPr id="0" name="Chart 1"/>
        <xdr:cNvGraphicFramePr/>
      </xdr:nvGraphicFramePr>
      <xdr:xfrm>
        <a:off x="0" y="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35.0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35.0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23.8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4" t="s">
        <v>18</v>
      </c>
    </row>
    <row r="2" customFormat="false" ht="23.85" hidden="false" customHeight="false" outlineLevel="0" collapsed="false">
      <c r="A2" s="5" t="s">
        <v>19</v>
      </c>
      <c r="B2" s="6" t="n">
        <v>5.15</v>
      </c>
      <c r="C2" s="5" t="s">
        <v>20</v>
      </c>
    </row>
    <row r="3" customFormat="false" ht="35.05" hidden="false" customHeight="false" outlineLevel="0" collapsed="false">
      <c r="A3" s="5" t="s">
        <v>21</v>
      </c>
      <c r="B3" s="7" t="n">
        <v>200</v>
      </c>
      <c r="C3" s="5" t="s">
        <v>22</v>
      </c>
    </row>
    <row r="5" customFormat="false" ht="15" hidden="false" customHeight="false" outlineLevel="0" collapsed="false">
      <c r="A5" s="8" t="s">
        <v>23</v>
      </c>
    </row>
    <row r="6" customFormat="false" ht="15" hidden="false" customHeight="false" outlineLevel="0" collapsed="false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</row>
    <row r="7" customFormat="false" ht="15" hidden="false" customHeight="false" outlineLevel="0" collapsed="false">
      <c r="A7" s="5" t="s">
        <v>29</v>
      </c>
      <c r="B7" s="10" t="s">
        <v>30</v>
      </c>
      <c r="C7" s="6" t="n">
        <v>2</v>
      </c>
      <c r="D7" s="6" t="n">
        <v>12</v>
      </c>
      <c r="E7" s="5" t="s">
        <v>31</v>
      </c>
    </row>
    <row r="8" customFormat="false" ht="23.85" hidden="false" customHeight="false" outlineLevel="0" collapsed="false">
      <c r="A8" s="5" t="s">
        <v>32</v>
      </c>
      <c r="B8" s="10" t="s">
        <v>33</v>
      </c>
      <c r="C8" s="6" t="n">
        <v>0.75</v>
      </c>
      <c r="D8" s="6" t="n">
        <v>3.75</v>
      </c>
      <c r="E8" s="5" t="s">
        <v>34</v>
      </c>
    </row>
    <row r="9" customFormat="false" ht="15" hidden="false" customHeight="false" outlineLevel="0" collapsed="false">
      <c r="A9" s="5" t="s">
        <v>35</v>
      </c>
      <c r="B9" s="10" t="s">
        <v>36</v>
      </c>
      <c r="C9" s="6" t="n">
        <v>0.25</v>
      </c>
      <c r="D9" s="6" t="n">
        <v>1.5</v>
      </c>
      <c r="E9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14" min="3" style="0" width="11"/>
  </cols>
  <sheetData>
    <row r="1" customFormat="false" ht="15" hidden="false" customHeight="false" outlineLevel="0" collapsed="false">
      <c r="A1" s="4" t="s">
        <v>38</v>
      </c>
    </row>
    <row r="2" customFormat="false" ht="15" hidden="false" customHeight="false" outlineLevel="0" collapsed="false">
      <c r="A2" s="9" t="s">
        <v>39</v>
      </c>
      <c r="B2" s="9" t="s">
        <v>40</v>
      </c>
      <c r="C2" s="9" t="s">
        <v>41</v>
      </c>
      <c r="D2" s="9" t="s">
        <v>42</v>
      </c>
      <c r="E2" s="9" t="s">
        <v>43</v>
      </c>
      <c r="F2" s="9" t="s">
        <v>44</v>
      </c>
      <c r="G2" s="9" t="s">
        <v>45</v>
      </c>
      <c r="H2" s="9" t="s">
        <v>46</v>
      </c>
      <c r="I2" s="9" t="s">
        <v>47</v>
      </c>
      <c r="J2" s="9" t="s">
        <v>48</v>
      </c>
      <c r="K2" s="9" t="s">
        <v>49</v>
      </c>
      <c r="L2" s="9" t="s">
        <v>50</v>
      </c>
      <c r="M2" s="9" t="s">
        <v>51</v>
      </c>
      <c r="N2" s="9" t="s">
        <v>52</v>
      </c>
    </row>
    <row r="3" customFormat="false" ht="15" hidden="false" customHeight="false" outlineLevel="0" collapsed="false">
      <c r="A3" s="5" t="s">
        <v>53</v>
      </c>
      <c r="B3" s="5" t="s">
        <v>54</v>
      </c>
      <c r="C3" s="11" t="n">
        <v>4387</v>
      </c>
      <c r="D3" s="11" t="n">
        <v>4622</v>
      </c>
      <c r="E3" s="11" t="n">
        <v>6700</v>
      </c>
      <c r="F3" s="11" t="n">
        <v>6594</v>
      </c>
      <c r="G3" s="11" t="n">
        <v>6805</v>
      </c>
      <c r="H3" s="11" t="n">
        <v>6497</v>
      </c>
      <c r="I3" s="11" t="n">
        <v>7611</v>
      </c>
      <c r="J3" s="11" t="n">
        <v>6864</v>
      </c>
      <c r="K3" s="11" t="n">
        <v>7130</v>
      </c>
      <c r="L3" s="11" t="n">
        <v>5976</v>
      </c>
      <c r="M3" s="11" t="n">
        <v>6074</v>
      </c>
      <c r="N3" s="11" t="n">
        <v>7423</v>
      </c>
    </row>
    <row r="4" customFormat="false" ht="15" hidden="false" customHeight="false" outlineLevel="0" collapsed="false">
      <c r="A4" s="5" t="s">
        <v>55</v>
      </c>
      <c r="B4" s="5" t="s">
        <v>56</v>
      </c>
      <c r="C4" s="11" t="n">
        <v>229</v>
      </c>
      <c r="D4" s="11" t="n">
        <v>214</v>
      </c>
      <c r="E4" s="11" t="n">
        <v>824</v>
      </c>
      <c r="F4" s="11" t="n">
        <v>702</v>
      </c>
      <c r="G4" s="11" t="n">
        <v>403</v>
      </c>
      <c r="H4" s="11" t="n">
        <v>819</v>
      </c>
      <c r="I4" s="11" t="n">
        <v>1700</v>
      </c>
      <c r="J4" s="11" t="n">
        <v>426</v>
      </c>
      <c r="K4" s="11" t="n">
        <v>591</v>
      </c>
      <c r="L4" s="11" t="n">
        <v>76</v>
      </c>
      <c r="M4" s="11" t="n">
        <v>196</v>
      </c>
      <c r="N4" s="11" t="n">
        <v>744</v>
      </c>
    </row>
    <row r="6" customFormat="false" ht="15" hidden="false" customHeight="false" outlineLevel="0" collapsed="false">
      <c r="A6" s="8" t="s">
        <v>57</v>
      </c>
    </row>
    <row r="7" customFormat="false" ht="15" hidden="false" customHeight="false" outlineLevel="0" collapsed="false">
      <c r="A7" s="9" t="s">
        <v>39</v>
      </c>
      <c r="B7" s="9" t="s">
        <v>40</v>
      </c>
      <c r="C7" s="9" t="s">
        <v>41</v>
      </c>
      <c r="D7" s="9" t="s">
        <v>42</v>
      </c>
      <c r="E7" s="9" t="s">
        <v>43</v>
      </c>
      <c r="F7" s="9" t="s">
        <v>44</v>
      </c>
      <c r="G7" s="9" t="s">
        <v>45</v>
      </c>
      <c r="H7" s="9" t="s">
        <v>46</v>
      </c>
      <c r="I7" s="9" t="s">
        <v>47</v>
      </c>
      <c r="J7" s="9" t="s">
        <v>48</v>
      </c>
      <c r="K7" s="9" t="s">
        <v>49</v>
      </c>
      <c r="L7" s="9" t="s">
        <v>50</v>
      </c>
      <c r="M7" s="9" t="s">
        <v>51</v>
      </c>
      <c r="N7" s="9" t="s">
        <v>52</v>
      </c>
    </row>
    <row r="8" customFormat="false" ht="15" hidden="false" customHeight="false" outlineLevel="0" collapsed="false">
      <c r="A8" s="5" t="s">
        <v>58</v>
      </c>
      <c r="B8" s="5" t="s">
        <v>59</v>
      </c>
      <c r="C8" s="12" t="n">
        <f aca="false">C3*Premissas!$B$3</f>
        <v>877400</v>
      </c>
      <c r="D8" s="12" t="n">
        <f aca="false">D3*Premissas!$B$3</f>
        <v>924400</v>
      </c>
      <c r="E8" s="12" t="n">
        <f aca="false">E3*Premissas!$B$3</f>
        <v>1340000</v>
      </c>
      <c r="F8" s="12" t="n">
        <f aca="false">F3*Premissas!$B$3</f>
        <v>1318800</v>
      </c>
      <c r="G8" s="12" t="n">
        <f aca="false">G3*Premissas!$B$3</f>
        <v>1361000</v>
      </c>
      <c r="H8" s="12" t="n">
        <f aca="false">H3*Premissas!$B$3</f>
        <v>1299400</v>
      </c>
      <c r="I8" s="12" t="n">
        <f aca="false">I3*Premissas!$B$3</f>
        <v>1522200</v>
      </c>
      <c r="J8" s="12" t="n">
        <f aca="false">J3*Premissas!$B$3</f>
        <v>1372800</v>
      </c>
      <c r="K8" s="12" t="n">
        <f aca="false">K3*Premissas!$B$3</f>
        <v>1426000</v>
      </c>
      <c r="L8" s="12" t="n">
        <f aca="false">L3*Premissas!$B$3</f>
        <v>1195200</v>
      </c>
      <c r="M8" s="12" t="n">
        <f aca="false">M3*Premissas!$B$3</f>
        <v>1214800</v>
      </c>
      <c r="N8" s="12" t="n">
        <f aca="false">N3*Premissas!$B$3</f>
        <v>1484600</v>
      </c>
    </row>
    <row r="9" customFormat="false" ht="15" hidden="false" customHeight="false" outlineLevel="0" collapsed="false">
      <c r="A9" s="5" t="s">
        <v>60</v>
      </c>
      <c r="B9" s="5" t="s">
        <v>61</v>
      </c>
      <c r="C9" s="12" t="n">
        <f aca="false">C4*Premissas!$B$3</f>
        <v>45800</v>
      </c>
      <c r="D9" s="12" t="n">
        <f aca="false">D4*Premissas!$B$3</f>
        <v>42800</v>
      </c>
      <c r="E9" s="12" t="n">
        <f aca="false">E4*Premissas!$B$3</f>
        <v>164800</v>
      </c>
      <c r="F9" s="12" t="n">
        <f aca="false">F4*Premissas!$B$3</f>
        <v>140400</v>
      </c>
      <c r="G9" s="12" t="n">
        <f aca="false">G4*Premissas!$B$3</f>
        <v>80600</v>
      </c>
      <c r="H9" s="12" t="n">
        <f aca="false">H4*Premissas!$B$3</f>
        <v>163800</v>
      </c>
      <c r="I9" s="12" t="n">
        <f aca="false">I4*Premissas!$B$3</f>
        <v>340000</v>
      </c>
      <c r="J9" s="12" t="n">
        <f aca="false">J4*Premissas!$B$3</f>
        <v>85200</v>
      </c>
      <c r="K9" s="12" t="n">
        <f aca="false">K4*Premissas!$B$3</f>
        <v>118200</v>
      </c>
      <c r="L9" s="12" t="n">
        <f aca="false">L4*Premissas!$B$3</f>
        <v>15200</v>
      </c>
      <c r="M9" s="12" t="n">
        <f aca="false">M4*Premissas!$B$3</f>
        <v>39200</v>
      </c>
      <c r="N9" s="12" t="n">
        <f aca="false">N4*Premissas!$B$3</f>
        <v>148800</v>
      </c>
    </row>
    <row r="10" customFormat="false" ht="15" hidden="false" customHeight="false" outlineLevel="0" collapsed="false">
      <c r="A10" s="5" t="s">
        <v>62</v>
      </c>
      <c r="B10" s="5" t="s">
        <v>63</v>
      </c>
      <c r="C10" s="11" t="n">
        <v>500000</v>
      </c>
      <c r="D10" s="11" t="n">
        <v>500000</v>
      </c>
      <c r="E10" s="11" t="n">
        <v>500000</v>
      </c>
      <c r="F10" s="11" t="n">
        <v>500000</v>
      </c>
      <c r="G10" s="11" t="n">
        <v>500000</v>
      </c>
      <c r="H10" s="11" t="n">
        <v>500000</v>
      </c>
      <c r="I10" s="11" t="n">
        <v>500000</v>
      </c>
      <c r="J10" s="11" t="n">
        <v>500000</v>
      </c>
      <c r="K10" s="11" t="n">
        <v>500000</v>
      </c>
      <c r="L10" s="11" t="n">
        <v>500000</v>
      </c>
      <c r="M10" s="11" t="n">
        <v>500000</v>
      </c>
      <c r="N10" s="11" t="n">
        <v>500000</v>
      </c>
    </row>
    <row r="11" customFormat="false" ht="15" hidden="false" customHeight="false" outlineLevel="0" collapsed="false">
      <c r="A11" s="5" t="s">
        <v>64</v>
      </c>
      <c r="B11" s="5" t="s">
        <v>65</v>
      </c>
      <c r="C11" s="11" t="n">
        <v>40000</v>
      </c>
      <c r="D11" s="11" t="n">
        <v>40000</v>
      </c>
      <c r="E11" s="11" t="n">
        <v>40000</v>
      </c>
      <c r="F11" s="11" t="n">
        <v>40000</v>
      </c>
      <c r="G11" s="11" t="n">
        <v>40000</v>
      </c>
      <c r="H11" s="11" t="n">
        <v>40000</v>
      </c>
      <c r="I11" s="11" t="n">
        <v>40000</v>
      </c>
      <c r="J11" s="11" t="n">
        <v>40000</v>
      </c>
      <c r="K11" s="11" t="n">
        <v>40000</v>
      </c>
      <c r="L11" s="11" t="n">
        <v>40000</v>
      </c>
      <c r="M11" s="11" t="n">
        <v>40000</v>
      </c>
      <c r="N11" s="11" t="n">
        <v>40000</v>
      </c>
    </row>
    <row r="12" customFormat="false" ht="15" hidden="false" customHeight="false" outlineLevel="0" collapsed="false">
      <c r="A12" s="5" t="s">
        <v>66</v>
      </c>
      <c r="B12" s="5" t="s">
        <v>67</v>
      </c>
      <c r="C12" s="11" t="n">
        <v>120</v>
      </c>
      <c r="D12" s="11" t="n">
        <v>147</v>
      </c>
      <c r="E12" s="11" t="n">
        <v>175</v>
      </c>
      <c r="F12" s="11" t="n">
        <v>202</v>
      </c>
      <c r="G12" s="11" t="n">
        <v>229</v>
      </c>
      <c r="H12" s="11" t="n">
        <v>256</v>
      </c>
      <c r="I12" s="11" t="n">
        <v>284</v>
      </c>
      <c r="J12" s="11" t="n">
        <v>311</v>
      </c>
      <c r="K12" s="11" t="n">
        <v>338</v>
      </c>
      <c r="L12" s="11" t="n">
        <v>365</v>
      </c>
      <c r="M12" s="11" t="n">
        <v>393</v>
      </c>
      <c r="N12" s="11" t="n">
        <v>420</v>
      </c>
    </row>
    <row r="13" customFormat="false" ht="15" hidden="false" customHeight="false" outlineLevel="0" collapsed="false">
      <c r="A13" s="5" t="s">
        <v>68</v>
      </c>
      <c r="B13" s="5" t="s">
        <v>69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</row>
    <row r="15" customFormat="false" ht="15" hidden="false" customHeight="false" outlineLevel="0" collapsed="false">
      <c r="A15" s="13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70"/>
  </cols>
  <sheetData>
    <row r="1" customFormat="false" ht="42" hidden="false" customHeight="true" outlineLevel="0" collapsed="false">
      <c r="A1" s="9" t="s">
        <v>71</v>
      </c>
      <c r="B1" s="9" t="s">
        <v>72</v>
      </c>
      <c r="C1" s="9" t="s">
        <v>73</v>
      </c>
      <c r="D1" s="9" t="s">
        <v>74</v>
      </c>
      <c r="E1" s="9" t="s">
        <v>75</v>
      </c>
      <c r="F1" s="9" t="s">
        <v>76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  <c r="L1" s="9" t="s">
        <v>82</v>
      </c>
    </row>
    <row r="2" customFormat="false" ht="23.85" hidden="false" customHeight="false" outlineLevel="0" collapsed="false">
      <c r="A2" s="10" t="s">
        <v>83</v>
      </c>
      <c r="B2" s="5" t="s">
        <v>84</v>
      </c>
      <c r="C2" s="5" t="s">
        <v>85</v>
      </c>
      <c r="D2" s="5" t="s">
        <v>58</v>
      </c>
      <c r="E2" s="14" t="n">
        <v>0.032</v>
      </c>
      <c r="F2" s="15" t="n">
        <v>180000</v>
      </c>
      <c r="G2" s="15" t="n">
        <v>2400</v>
      </c>
      <c r="H2" s="16" t="s">
        <v>30</v>
      </c>
      <c r="I2" s="15" t="n">
        <v>0</v>
      </c>
      <c r="J2" s="15" t="n">
        <v>12000</v>
      </c>
      <c r="K2" s="17" t="n">
        <v>46054</v>
      </c>
      <c r="L2" s="5" t="s">
        <v>86</v>
      </c>
    </row>
    <row r="3" customFormat="false" ht="15" hidden="false" customHeight="false" outlineLevel="0" collapsed="false">
      <c r="A3" s="10" t="s">
        <v>87</v>
      </c>
      <c r="B3" s="5" t="s">
        <v>88</v>
      </c>
      <c r="C3" s="5" t="s">
        <v>85</v>
      </c>
      <c r="D3" s="5" t="s">
        <v>62</v>
      </c>
      <c r="E3" s="14" t="n">
        <v>1</v>
      </c>
      <c r="F3" s="15" t="n">
        <v>1500</v>
      </c>
      <c r="G3" s="15" t="n">
        <v>300</v>
      </c>
      <c r="H3" s="16" t="s">
        <v>33</v>
      </c>
      <c r="I3" s="15" t="n">
        <v>0</v>
      </c>
      <c r="J3" s="15" t="n">
        <v>12000</v>
      </c>
      <c r="K3" s="17" t="n">
        <v>45962</v>
      </c>
      <c r="L3" s="5" t="s">
        <v>89</v>
      </c>
    </row>
    <row r="4" customFormat="false" ht="35.05" hidden="false" customHeight="false" outlineLevel="0" collapsed="false">
      <c r="A4" s="10" t="s">
        <v>90</v>
      </c>
      <c r="B4" s="5" t="s">
        <v>91</v>
      </c>
      <c r="C4" s="5" t="s">
        <v>92</v>
      </c>
      <c r="D4" s="5" t="s">
        <v>60</v>
      </c>
      <c r="E4" s="14" t="n">
        <v>1</v>
      </c>
      <c r="F4" s="15" t="n">
        <v>48000</v>
      </c>
      <c r="G4" s="15" t="n">
        <v>4000</v>
      </c>
      <c r="H4" s="16" t="s">
        <v>30</v>
      </c>
      <c r="I4" s="15" t="n">
        <v>0</v>
      </c>
      <c r="J4" s="15" t="n">
        <v>9000</v>
      </c>
      <c r="K4" s="17" t="n">
        <v>46082</v>
      </c>
      <c r="L4" s="5" t="s">
        <v>93</v>
      </c>
    </row>
    <row r="5" customFormat="false" ht="15" hidden="false" customHeight="false" outlineLevel="0" collapsed="false">
      <c r="A5" s="10" t="s">
        <v>94</v>
      </c>
      <c r="B5" s="5" t="s">
        <v>95</v>
      </c>
      <c r="C5" s="5" t="s">
        <v>96</v>
      </c>
      <c r="D5" s="5" t="s">
        <v>68</v>
      </c>
      <c r="E5" s="14" t="n">
        <v>0</v>
      </c>
      <c r="F5" s="15" t="n">
        <v>0</v>
      </c>
      <c r="G5" s="15" t="n">
        <v>0</v>
      </c>
      <c r="H5" s="16" t="s">
        <v>36</v>
      </c>
      <c r="I5" s="15" t="n">
        <v>0</v>
      </c>
      <c r="J5" s="15" t="n">
        <v>600</v>
      </c>
      <c r="K5" s="17" t="n">
        <v>46113</v>
      </c>
      <c r="L5" s="5" t="s">
        <v>97</v>
      </c>
    </row>
    <row r="6" customFormat="false" ht="23.85" hidden="false" customHeight="false" outlineLevel="0" collapsed="false">
      <c r="A6" s="10" t="s">
        <v>98</v>
      </c>
      <c r="B6" s="5" t="s">
        <v>99</v>
      </c>
      <c r="C6" s="5" t="s">
        <v>100</v>
      </c>
      <c r="D6" s="5" t="s">
        <v>66</v>
      </c>
      <c r="E6" s="14" t="n">
        <v>1</v>
      </c>
      <c r="F6" s="15" t="n">
        <v>0</v>
      </c>
      <c r="G6" s="15" t="n">
        <v>0</v>
      </c>
      <c r="H6" s="16" t="s">
        <v>36</v>
      </c>
      <c r="I6" s="15" t="n">
        <v>110</v>
      </c>
      <c r="J6" s="15" t="n">
        <v>0</v>
      </c>
      <c r="K6" s="17" t="n">
        <v>45901</v>
      </c>
      <c r="L6" s="5" t="s">
        <v>101</v>
      </c>
    </row>
    <row r="7" customFormat="false" ht="15" hidden="false" customHeight="false" outlineLevel="0" collapsed="false">
      <c r="A7" s="10" t="s">
        <v>102</v>
      </c>
      <c r="B7" s="5" t="s">
        <v>103</v>
      </c>
      <c r="C7" s="5" t="s">
        <v>104</v>
      </c>
      <c r="D7" s="5" t="s">
        <v>68</v>
      </c>
      <c r="E7" s="14" t="n">
        <v>0</v>
      </c>
      <c r="F7" s="15" t="n">
        <v>0</v>
      </c>
      <c r="G7" s="15" t="n">
        <v>0</v>
      </c>
      <c r="H7" s="16" t="s">
        <v>36</v>
      </c>
      <c r="I7" s="15" t="n">
        <v>0</v>
      </c>
      <c r="J7" s="15" t="n">
        <v>35000</v>
      </c>
      <c r="K7" s="17" t="n">
        <v>45901</v>
      </c>
      <c r="L7" s="5" t="s">
        <v>105</v>
      </c>
    </row>
    <row r="8" customFormat="false" ht="15" hidden="false" customHeight="false" outlineLevel="0" collapsed="false">
      <c r="A8" s="10" t="s">
        <v>106</v>
      </c>
      <c r="B8" s="5" t="s">
        <v>107</v>
      </c>
      <c r="C8" s="5" t="s">
        <v>104</v>
      </c>
      <c r="D8" s="5" t="s">
        <v>68</v>
      </c>
      <c r="E8" s="14" t="n">
        <v>0</v>
      </c>
      <c r="F8" s="15" t="n">
        <v>0</v>
      </c>
      <c r="G8" s="15" t="n">
        <v>0</v>
      </c>
      <c r="H8" s="16" t="s">
        <v>36</v>
      </c>
      <c r="I8" s="15" t="n">
        <v>0</v>
      </c>
      <c r="J8" s="15" t="n">
        <v>95000</v>
      </c>
      <c r="K8" s="17" t="n">
        <v>45901</v>
      </c>
      <c r="L8" s="5" t="s">
        <v>108</v>
      </c>
    </row>
    <row r="9" customFormat="false" ht="15" hidden="false" customHeight="false" outlineLevel="0" collapsed="false">
      <c r="A9" s="10" t="s">
        <v>109</v>
      </c>
      <c r="B9" s="5" t="s">
        <v>110</v>
      </c>
      <c r="C9" s="5" t="s">
        <v>111</v>
      </c>
      <c r="D9" s="5" t="s">
        <v>64</v>
      </c>
      <c r="E9" s="14" t="n">
        <v>1</v>
      </c>
      <c r="F9" s="15" t="n">
        <v>10000</v>
      </c>
      <c r="G9" s="15" t="n">
        <v>500</v>
      </c>
      <c r="H9" s="16" t="s">
        <v>30</v>
      </c>
      <c r="I9" s="15" t="n">
        <v>0</v>
      </c>
      <c r="J9" s="15" t="n">
        <v>8000</v>
      </c>
      <c r="K9" s="17" t="n">
        <v>46143</v>
      </c>
      <c r="L9" s="5" t="s">
        <v>112</v>
      </c>
    </row>
    <row r="10" customFormat="false" ht="23.85" hidden="false" customHeight="false" outlineLevel="0" collapsed="false">
      <c r="A10" s="10" t="s">
        <v>113</v>
      </c>
      <c r="B10" s="5" t="s">
        <v>114</v>
      </c>
      <c r="C10" s="5" t="s">
        <v>115</v>
      </c>
      <c r="D10" s="5" t="s">
        <v>68</v>
      </c>
      <c r="E10" s="14" t="n">
        <v>0</v>
      </c>
      <c r="F10" s="15" t="n">
        <v>0</v>
      </c>
      <c r="G10" s="15" t="n">
        <v>0</v>
      </c>
      <c r="H10" s="16" t="s">
        <v>36</v>
      </c>
      <c r="I10" s="15" t="n">
        <v>0</v>
      </c>
      <c r="J10" s="15" t="n">
        <v>85000</v>
      </c>
      <c r="K10" s="17" t="n">
        <v>46113</v>
      </c>
      <c r="L10" s="5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16" min="4" style="0" width="11"/>
  </cols>
  <sheetData>
    <row r="1" customFormat="false" ht="15" hidden="false" customHeight="false" outlineLevel="0" collapsed="false">
      <c r="A1" s="4" t="s">
        <v>117</v>
      </c>
    </row>
    <row r="2" customFormat="false" ht="15" hidden="false" customHeight="false" outlineLevel="0" collapsed="false">
      <c r="B2" s="13" t="s">
        <v>118</v>
      </c>
      <c r="D2" s="18" t="n">
        <v>45901</v>
      </c>
      <c r="E2" s="18" t="n">
        <v>45931</v>
      </c>
      <c r="F2" s="18" t="n">
        <v>45962</v>
      </c>
      <c r="G2" s="18" t="n">
        <v>45992</v>
      </c>
      <c r="H2" s="18" t="n">
        <v>46023</v>
      </c>
      <c r="I2" s="18" t="n">
        <v>46054</v>
      </c>
      <c r="J2" s="18" t="n">
        <v>46082</v>
      </c>
      <c r="K2" s="18" t="n">
        <v>46113</v>
      </c>
      <c r="L2" s="18" t="n">
        <v>46143</v>
      </c>
      <c r="M2" s="18" t="n">
        <v>46174</v>
      </c>
      <c r="N2" s="18" t="n">
        <v>46204</v>
      </c>
      <c r="O2" s="18" t="n">
        <v>46235</v>
      </c>
    </row>
    <row r="3" customFormat="false" ht="15" hidden="false" customHeight="false" outlineLevel="0" collapsed="false">
      <c r="A3" s="8" t="s">
        <v>119</v>
      </c>
    </row>
    <row r="4" customFormat="false" ht="23.85" hidden="false" customHeight="false" outlineLevel="0" collapsed="false">
      <c r="A4" s="9" t="s">
        <v>71</v>
      </c>
      <c r="B4" s="9" t="s">
        <v>72</v>
      </c>
      <c r="C4" s="9" t="s">
        <v>73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  <c r="P4" s="9" t="s">
        <v>120</v>
      </c>
    </row>
    <row r="5" customFormat="false" ht="15" hidden="false" customHeight="false" outlineLevel="0" collapsed="false">
      <c r="A5" s="5" t="str">
        <f aca="false">Parâmetros!A2</f>
        <v>P01</v>
      </c>
      <c r="B5" s="5" t="str">
        <f aca="false">Parâmetros!B2</f>
        <v>Agente de SAC com RAG</v>
      </c>
      <c r="C5" s="5" t="str">
        <f aca="false">Parâmetros!C2</f>
        <v>Marketplace e e-commerce</v>
      </c>
      <c r="D5" s="12" t="n">
        <f aca="false">IF(D$2&gt;=Parâmetros!$K2,INDEX(Volumes!$C$8:$C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0</v>
      </c>
      <c r="E5" s="12" t="n">
        <f aca="false">IF(E$2&gt;=Parâmetros!$K2,INDEX(Volumes!$D$8:$D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0</v>
      </c>
      <c r="F5" s="12" t="n">
        <f aca="false">IF(F$2&gt;=Parâmetros!$K2,INDEX(Volumes!$E$8:$E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0</v>
      </c>
      <c r="G5" s="12" t="n">
        <f aca="false">IF(G$2&gt;=Parâmetros!$K2,INDEX(Volumes!$F$8:$F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0</v>
      </c>
      <c r="H5" s="12" t="n">
        <f aca="false">IF(H$2&gt;=Parâmetros!$K2,INDEX(Volumes!$G$8:$G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0</v>
      </c>
      <c r="I5" s="12" t="n">
        <f aca="false">IF(I$2&gt;=Parâmetros!$K2,INDEX(Volumes!$H$8:$H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83258.067456</v>
      </c>
      <c r="J5" s="12" t="n">
        <f aca="false">IF(J$2&gt;=Parâmetros!$K2,INDEX(Volumes!$I$8:$I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97533.808128</v>
      </c>
      <c r="K5" s="12" t="n">
        <f aca="false">IF(K$2&gt;=Parâmetros!$K2,INDEX(Volumes!$J$8:$J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87961.116672</v>
      </c>
      <c r="L5" s="12" t="n">
        <f aca="false">IF(L$2&gt;=Parâmetros!$K2,INDEX(Volumes!$K$8:$K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91369.86624</v>
      </c>
      <c r="M5" s="12" t="n">
        <f aca="false">IF(M$2&gt;=Parâmetros!$K2,INDEX(Volumes!$L$8:$L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76581.531648</v>
      </c>
      <c r="N5" s="12" t="n">
        <f aca="false">IF(N$2&gt;=Parâmetros!$K2,INDEX(Volumes!$M$8:$M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77837.386752</v>
      </c>
      <c r="O5" s="12" t="n">
        <f aca="false">IF(O$2&gt;=Parâmetros!$K2,INDEX(Volumes!$N$8:$N$13,MATCH(Parâmetros!$D2,Volumes!$A$8:$A$13,0))*Parâmetros!$E2*((Parâmetros!$F2*INDEX(Premissas!$C$7:$C$9,MATCH(Parâmetros!$H2,Premissas!$B$7:$B$9,0))+Parâmetros!$G2*INDEX(Premissas!$D$7:$D$9,MATCH(Parâmetros!$H2,Premissas!$B$7:$B$9,0)))/1000000*Premissas!$B$2+Parâmetros!$I2),0)</f>
        <v>95124.616704</v>
      </c>
      <c r="P5" s="19" t="n">
        <f aca="false">SUM(D5:O5)</f>
        <v>609666.3936</v>
      </c>
    </row>
    <row r="6" customFormat="false" ht="15" hidden="false" customHeight="false" outlineLevel="0" collapsed="false">
      <c r="A6" s="5" t="str">
        <f aca="false">Parâmetros!A3</f>
        <v>P02</v>
      </c>
      <c r="B6" s="5" t="str">
        <f aca="false">Parâmetros!B3</f>
        <v>Recompra + campanhas personalizadas</v>
      </c>
      <c r="C6" s="5" t="str">
        <f aca="false">Parâmetros!C3</f>
        <v>Marketplace e e-commerce</v>
      </c>
      <c r="D6" s="12" t="n">
        <f aca="false">IF(D$2&gt;=Parâmetros!$K3,INDEX(Volumes!$C$8:$C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0</v>
      </c>
      <c r="E6" s="12" t="n">
        <f aca="false">IF(E$2&gt;=Parâmetros!$K3,INDEX(Volumes!$D$8:$D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0</v>
      </c>
      <c r="F6" s="12" t="n">
        <f aca="false">IF(F$2&gt;=Parâmetros!$K3,INDEX(Volumes!$E$8:$E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5793.75</v>
      </c>
      <c r="G6" s="12" t="n">
        <f aca="false">IF(G$2&gt;=Parâmetros!$K3,INDEX(Volumes!$F$8:$F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5793.75</v>
      </c>
      <c r="H6" s="12" t="n">
        <f aca="false">IF(H$2&gt;=Parâmetros!$K3,INDEX(Volumes!$G$8:$G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5793.75</v>
      </c>
      <c r="I6" s="12" t="n">
        <f aca="false">IF(I$2&gt;=Parâmetros!$K3,INDEX(Volumes!$H$8:$H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5793.75</v>
      </c>
      <c r="J6" s="12" t="n">
        <f aca="false">IF(J$2&gt;=Parâmetros!$K3,INDEX(Volumes!$I$8:$I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5793.75</v>
      </c>
      <c r="K6" s="12" t="n">
        <f aca="false">IF(K$2&gt;=Parâmetros!$K3,INDEX(Volumes!$J$8:$J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5793.75</v>
      </c>
      <c r="L6" s="12" t="n">
        <f aca="false">IF(L$2&gt;=Parâmetros!$K3,INDEX(Volumes!$K$8:$K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5793.75</v>
      </c>
      <c r="M6" s="12" t="n">
        <f aca="false">IF(M$2&gt;=Parâmetros!$K3,INDEX(Volumes!$L$8:$L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5793.75</v>
      </c>
      <c r="N6" s="12" t="n">
        <f aca="false">IF(N$2&gt;=Parâmetros!$K3,INDEX(Volumes!$M$8:$M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5793.75</v>
      </c>
      <c r="O6" s="12" t="n">
        <f aca="false">IF(O$2&gt;=Parâmetros!$K3,INDEX(Volumes!$N$8:$N$13,MATCH(Parâmetros!$D3,Volumes!$A$8:$A$13,0))*Parâmetros!$E3*((Parâmetros!$F3*INDEX(Premissas!$C$7:$C$9,MATCH(Parâmetros!$H3,Premissas!$B$7:$B$9,0))+Parâmetros!$G3*INDEX(Premissas!$D$7:$D$9,MATCH(Parâmetros!$H3,Premissas!$B$7:$B$9,0)))/1000000*Premissas!$B$2+Parâmetros!$I3),0)</f>
        <v>5793.75</v>
      </c>
      <c r="P6" s="19" t="n">
        <f aca="false">SUM(D6:O6)</f>
        <v>57937.5</v>
      </c>
    </row>
    <row r="7" customFormat="false" ht="15" hidden="false" customHeight="false" outlineLevel="0" collapsed="false">
      <c r="A7" s="5" t="str">
        <f aca="false">Parâmetros!A4</f>
        <v>P03</v>
      </c>
      <c r="B7" s="5" t="str">
        <f aca="false">Parâmetros!B4</f>
        <v>Agente de tratativa de atrasos</v>
      </c>
      <c r="C7" s="5" t="str">
        <f aca="false">Parâmetros!C4</f>
        <v>Logística</v>
      </c>
      <c r="D7" s="12" t="n">
        <f aca="false">IF(D$2&gt;=Parâmetros!$K4,INDEX(Volumes!$C$8:$C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0</v>
      </c>
      <c r="E7" s="12" t="n">
        <f aca="false">IF(E$2&gt;=Parâmetros!$K4,INDEX(Volumes!$D$8:$D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0</v>
      </c>
      <c r="F7" s="12" t="n">
        <f aca="false">IF(F$2&gt;=Parâmetros!$K4,INDEX(Volumes!$E$8:$E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0</v>
      </c>
      <c r="G7" s="12" t="n">
        <f aca="false">IF(G$2&gt;=Parâmetros!$K4,INDEX(Volumes!$F$8:$F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0</v>
      </c>
      <c r="H7" s="12" t="n">
        <f aca="false">IF(H$2&gt;=Parâmetros!$K4,INDEX(Volumes!$G$8:$G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0</v>
      </c>
      <c r="I7" s="12" t="n">
        <f aca="false">IF(I$2&gt;=Parâmetros!$K4,INDEX(Volumes!$H$8:$H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0</v>
      </c>
      <c r="J7" s="12" t="n">
        <f aca="false">IF(J$2&gt;=Parâmetros!$K4,INDEX(Volumes!$I$8:$I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252144</v>
      </c>
      <c r="K7" s="12" t="n">
        <f aca="false">IF(K$2&gt;=Parâmetros!$K4,INDEX(Volumes!$J$8:$J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63184.32</v>
      </c>
      <c r="L7" s="12" t="n">
        <f aca="false">IF(L$2&gt;=Parâmetros!$K4,INDEX(Volumes!$K$8:$K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87657.12</v>
      </c>
      <c r="M7" s="12" t="n">
        <f aca="false">IF(M$2&gt;=Parâmetros!$K4,INDEX(Volumes!$L$8:$L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11272.32</v>
      </c>
      <c r="N7" s="12" t="n">
        <f aca="false">IF(N$2&gt;=Parâmetros!$K4,INDEX(Volumes!$M$8:$M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29070.72</v>
      </c>
      <c r="O7" s="12" t="n">
        <f aca="false">IF(O$2&gt;=Parâmetros!$K4,INDEX(Volumes!$N$8:$N$13,MATCH(Parâmetros!$D4,Volumes!$A$8:$A$13,0))*Parâmetros!$E4*((Parâmetros!$F4*INDEX(Premissas!$C$7:$C$9,MATCH(Parâmetros!$H4,Premissas!$B$7:$B$9,0))+Parâmetros!$G4*INDEX(Premissas!$D$7:$D$9,MATCH(Parâmetros!$H4,Premissas!$B$7:$B$9,0)))/1000000*Premissas!$B$2+Parâmetros!$I4),0)</f>
        <v>110350.08</v>
      </c>
      <c r="P7" s="19" t="n">
        <f aca="false">SUM(D7:O7)</f>
        <v>553678.56</v>
      </c>
    </row>
    <row r="8" customFormat="false" ht="15" hidden="false" customHeight="false" outlineLevel="0" collapsed="false">
      <c r="A8" s="5" t="str">
        <f aca="false">Parâmetros!A5</f>
        <v>P04</v>
      </c>
      <c r="B8" s="5" t="str">
        <f aca="false">Parâmetros!B5</f>
        <v>App de escala de equipe</v>
      </c>
      <c r="C8" s="5" t="str">
        <f aca="false">Parâmetros!C5</f>
        <v>Lojas físicas</v>
      </c>
      <c r="D8" s="12" t="n">
        <f aca="false">IF(D$2&gt;=Parâmetros!$K5,INDEX(Volumes!$C$8:$C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E8" s="12" t="n">
        <f aca="false">IF(E$2&gt;=Parâmetros!$K5,INDEX(Volumes!$D$8:$D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F8" s="12" t="n">
        <f aca="false">IF(F$2&gt;=Parâmetros!$K5,INDEX(Volumes!$E$8:$E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G8" s="12" t="n">
        <f aca="false">IF(G$2&gt;=Parâmetros!$K5,INDEX(Volumes!$F$8:$F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H8" s="12" t="n">
        <f aca="false">IF(H$2&gt;=Parâmetros!$K5,INDEX(Volumes!$G$8:$G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I8" s="12" t="n">
        <f aca="false">IF(I$2&gt;=Parâmetros!$K5,INDEX(Volumes!$H$8:$H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J8" s="12" t="n">
        <f aca="false">IF(J$2&gt;=Parâmetros!$K5,INDEX(Volumes!$I$8:$I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K8" s="12" t="n">
        <f aca="false">IF(K$2&gt;=Parâmetros!$K5,INDEX(Volumes!$J$8:$J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L8" s="12" t="n">
        <f aca="false">IF(L$2&gt;=Parâmetros!$K5,INDEX(Volumes!$K$8:$K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M8" s="12" t="n">
        <f aca="false">IF(M$2&gt;=Parâmetros!$K5,INDEX(Volumes!$L$8:$L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N8" s="12" t="n">
        <f aca="false">IF(N$2&gt;=Parâmetros!$K5,INDEX(Volumes!$M$8:$M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O8" s="12" t="n">
        <f aca="false">IF(O$2&gt;=Parâmetros!$K5,INDEX(Volumes!$N$8:$N$13,MATCH(Parâmetros!$D5,Volumes!$A$8:$A$13,0))*Parâmetros!$E5*((Parâmetros!$F5*INDEX(Premissas!$C$7:$C$9,MATCH(Parâmetros!$H5,Premissas!$B$7:$B$9,0))+Parâmetros!$G5*INDEX(Premissas!$D$7:$D$9,MATCH(Parâmetros!$H5,Premissas!$B$7:$B$9,0)))/1000000*Premissas!$B$2+Parâmetros!$I5),0)</f>
        <v>0</v>
      </c>
      <c r="P8" s="19" t="n">
        <f aca="false">SUM(D8:O8)</f>
        <v>0</v>
      </c>
    </row>
    <row r="9" customFormat="false" ht="23.85" hidden="false" customHeight="false" outlineLevel="0" collapsed="false">
      <c r="A9" s="5" t="str">
        <f aca="false">Parâmetros!A6</f>
        <v>P05</v>
      </c>
      <c r="B9" s="5" t="str">
        <f aca="false">Parâmetros!B6</f>
        <v>Assistentes de IA de uso geral</v>
      </c>
      <c r="C9" s="5" t="str">
        <f aca="false">Parâmetros!C6</f>
        <v>Lojas físicas e áreas corporativas</v>
      </c>
      <c r="D9" s="12" t="n">
        <f aca="false">IF(D$2&gt;=Parâmetros!$K6,INDEX(Volumes!$C$8:$C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13200</v>
      </c>
      <c r="E9" s="12" t="n">
        <f aca="false">IF(E$2&gt;=Parâmetros!$K6,INDEX(Volumes!$D$8:$D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16170</v>
      </c>
      <c r="F9" s="12" t="n">
        <f aca="false">IF(F$2&gt;=Parâmetros!$K6,INDEX(Volumes!$E$8:$E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19250</v>
      </c>
      <c r="G9" s="12" t="n">
        <f aca="false">IF(G$2&gt;=Parâmetros!$K6,INDEX(Volumes!$F$8:$F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22220</v>
      </c>
      <c r="H9" s="12" t="n">
        <f aca="false">IF(H$2&gt;=Parâmetros!$K6,INDEX(Volumes!$G$8:$G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25190</v>
      </c>
      <c r="I9" s="12" t="n">
        <f aca="false">IF(I$2&gt;=Parâmetros!$K6,INDEX(Volumes!$H$8:$H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28160</v>
      </c>
      <c r="J9" s="12" t="n">
        <f aca="false">IF(J$2&gt;=Parâmetros!$K6,INDEX(Volumes!$I$8:$I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31240</v>
      </c>
      <c r="K9" s="12" t="n">
        <f aca="false">IF(K$2&gt;=Parâmetros!$K6,INDEX(Volumes!$J$8:$J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34210</v>
      </c>
      <c r="L9" s="12" t="n">
        <f aca="false">IF(L$2&gt;=Parâmetros!$K6,INDEX(Volumes!$K$8:$K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37180</v>
      </c>
      <c r="M9" s="12" t="n">
        <f aca="false">IF(M$2&gt;=Parâmetros!$K6,INDEX(Volumes!$L$8:$L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40150</v>
      </c>
      <c r="N9" s="12" t="n">
        <f aca="false">IF(N$2&gt;=Parâmetros!$K6,INDEX(Volumes!$M$8:$M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43230</v>
      </c>
      <c r="O9" s="12" t="n">
        <f aca="false">IF(O$2&gt;=Parâmetros!$K6,INDEX(Volumes!$N$8:$N$13,MATCH(Parâmetros!$D6,Volumes!$A$8:$A$13,0))*Parâmetros!$E6*((Parâmetros!$F6*INDEX(Premissas!$C$7:$C$9,MATCH(Parâmetros!$H6,Premissas!$B$7:$B$9,0))+Parâmetros!$G6*INDEX(Premissas!$D$7:$D$9,MATCH(Parâmetros!$H6,Premissas!$B$7:$B$9,0)))/1000000*Premissas!$B$2+Parâmetros!$I6),0)</f>
        <v>46200</v>
      </c>
      <c r="P9" s="19" t="n">
        <f aca="false">SUM(D9:O9)</f>
        <v>356400</v>
      </c>
    </row>
    <row r="10" customFormat="false" ht="15" hidden="false" customHeight="false" outlineLevel="0" collapsed="false">
      <c r="A10" s="5" t="str">
        <f aca="false">Parâmetros!A7</f>
        <v>P06</v>
      </c>
      <c r="B10" s="5" t="str">
        <f aca="false">Parâmetros!B7</f>
        <v>Modelo de crédito a sellers</v>
      </c>
      <c r="C10" s="5" t="str">
        <f aca="false">Parâmetros!C7</f>
        <v>Serviços financeiros</v>
      </c>
      <c r="D10" s="12" t="n">
        <f aca="false">IF(D$2&gt;=Parâmetros!$K7,INDEX(Volumes!$C$8:$C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E10" s="12" t="n">
        <f aca="false">IF(E$2&gt;=Parâmetros!$K7,INDEX(Volumes!$D$8:$D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F10" s="12" t="n">
        <f aca="false">IF(F$2&gt;=Parâmetros!$K7,INDEX(Volumes!$E$8:$E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G10" s="12" t="n">
        <f aca="false">IF(G$2&gt;=Parâmetros!$K7,INDEX(Volumes!$F$8:$F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H10" s="12" t="n">
        <f aca="false">IF(H$2&gt;=Parâmetros!$K7,INDEX(Volumes!$G$8:$G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I10" s="12" t="n">
        <f aca="false">IF(I$2&gt;=Parâmetros!$K7,INDEX(Volumes!$H$8:$H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J10" s="12" t="n">
        <f aca="false">IF(J$2&gt;=Parâmetros!$K7,INDEX(Volumes!$I$8:$I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K10" s="12" t="n">
        <f aca="false">IF(K$2&gt;=Parâmetros!$K7,INDEX(Volumes!$J$8:$J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L10" s="12" t="n">
        <f aca="false">IF(L$2&gt;=Parâmetros!$K7,INDEX(Volumes!$K$8:$K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M10" s="12" t="n">
        <f aca="false">IF(M$2&gt;=Parâmetros!$K7,INDEX(Volumes!$L$8:$L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N10" s="12" t="n">
        <f aca="false">IF(N$2&gt;=Parâmetros!$K7,INDEX(Volumes!$M$8:$M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O10" s="12" t="n">
        <f aca="false">IF(O$2&gt;=Parâmetros!$K7,INDEX(Volumes!$N$8:$N$13,MATCH(Parâmetros!$D7,Volumes!$A$8:$A$13,0))*Parâmetros!$E7*((Parâmetros!$F7*INDEX(Premissas!$C$7:$C$9,MATCH(Parâmetros!$H7,Premissas!$B$7:$B$9,0))+Parâmetros!$G7*INDEX(Premissas!$D$7:$D$9,MATCH(Parâmetros!$H7,Premissas!$B$7:$B$9,0)))/1000000*Premissas!$B$2+Parâmetros!$I7),0)</f>
        <v>0</v>
      </c>
      <c r="P10" s="19" t="n">
        <f aca="false">SUM(D10:O10)</f>
        <v>0</v>
      </c>
    </row>
    <row r="11" customFormat="false" ht="15" hidden="false" customHeight="false" outlineLevel="0" collapsed="false">
      <c r="A11" s="5" t="str">
        <f aca="false">Parâmetros!A8</f>
        <v>P07</v>
      </c>
      <c r="B11" s="5" t="str">
        <f aca="false">Parâmetros!B8</f>
        <v>Antifraude de pagamentos</v>
      </c>
      <c r="C11" s="5" t="str">
        <f aca="false">Parâmetros!C8</f>
        <v>Serviços financeiros</v>
      </c>
      <c r="D11" s="12" t="n">
        <f aca="false">IF(D$2&gt;=Parâmetros!$K8,INDEX(Volumes!$C$8:$C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E11" s="12" t="n">
        <f aca="false">IF(E$2&gt;=Parâmetros!$K8,INDEX(Volumes!$D$8:$D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F11" s="12" t="n">
        <f aca="false">IF(F$2&gt;=Parâmetros!$K8,INDEX(Volumes!$E$8:$E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G11" s="12" t="n">
        <f aca="false">IF(G$2&gt;=Parâmetros!$K8,INDEX(Volumes!$F$8:$F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H11" s="12" t="n">
        <f aca="false">IF(H$2&gt;=Parâmetros!$K8,INDEX(Volumes!$G$8:$G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I11" s="12" t="n">
        <f aca="false">IF(I$2&gt;=Parâmetros!$K8,INDEX(Volumes!$H$8:$H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J11" s="12" t="n">
        <f aca="false">IF(J$2&gt;=Parâmetros!$K8,INDEX(Volumes!$I$8:$I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K11" s="12" t="n">
        <f aca="false">IF(K$2&gt;=Parâmetros!$K8,INDEX(Volumes!$J$8:$J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L11" s="12" t="n">
        <f aca="false">IF(L$2&gt;=Parâmetros!$K8,INDEX(Volumes!$K$8:$K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M11" s="12" t="n">
        <f aca="false">IF(M$2&gt;=Parâmetros!$K8,INDEX(Volumes!$L$8:$L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N11" s="12" t="n">
        <f aca="false">IF(N$2&gt;=Parâmetros!$K8,INDEX(Volumes!$M$8:$M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O11" s="12" t="n">
        <f aca="false">IF(O$2&gt;=Parâmetros!$K8,INDEX(Volumes!$N$8:$N$13,MATCH(Parâmetros!$D8,Volumes!$A$8:$A$13,0))*Parâmetros!$E8*((Parâmetros!$F8*INDEX(Premissas!$C$7:$C$9,MATCH(Parâmetros!$H8,Premissas!$B$7:$B$9,0))+Parâmetros!$G8*INDEX(Premissas!$D$7:$D$9,MATCH(Parâmetros!$H8,Premissas!$B$7:$B$9,0)))/1000000*Premissas!$B$2+Parâmetros!$I8),0)</f>
        <v>0</v>
      </c>
      <c r="P11" s="19" t="n">
        <f aca="false">SUM(D11:O11)</f>
        <v>0</v>
      </c>
    </row>
    <row r="12" customFormat="false" ht="15" hidden="false" customHeight="false" outlineLevel="0" collapsed="false">
      <c r="A12" s="5" t="str">
        <f aca="false">Parâmetros!A9</f>
        <v>P08</v>
      </c>
      <c r="B12" s="5" t="str">
        <f aca="false">Parâmetros!B9</f>
        <v>Assistente interno de RH e políticas</v>
      </c>
      <c r="C12" s="5" t="str">
        <f aca="false">Parâmetros!C9</f>
        <v>Corporativo</v>
      </c>
      <c r="D12" s="12" t="n">
        <f aca="false">IF(D$2&gt;=Parâmetros!$K9,INDEX(Volumes!$C$8:$C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0</v>
      </c>
      <c r="E12" s="12" t="n">
        <f aca="false">IF(E$2&gt;=Parâmetros!$K9,INDEX(Volumes!$D$8:$D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0</v>
      </c>
      <c r="F12" s="12" t="n">
        <f aca="false">IF(F$2&gt;=Parâmetros!$K9,INDEX(Volumes!$E$8:$E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0</v>
      </c>
      <c r="G12" s="12" t="n">
        <f aca="false">IF(G$2&gt;=Parâmetros!$K9,INDEX(Volumes!$F$8:$F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0</v>
      </c>
      <c r="H12" s="12" t="n">
        <f aca="false">IF(H$2&gt;=Parâmetros!$K9,INDEX(Volumes!$G$8:$G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0</v>
      </c>
      <c r="I12" s="12" t="n">
        <f aca="false">IF(I$2&gt;=Parâmetros!$K9,INDEX(Volumes!$H$8:$H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0</v>
      </c>
      <c r="J12" s="12" t="n">
        <f aca="false">IF(J$2&gt;=Parâmetros!$K9,INDEX(Volumes!$I$8:$I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0</v>
      </c>
      <c r="K12" s="12" t="n">
        <f aca="false">IF(K$2&gt;=Parâmetros!$K9,INDEX(Volumes!$J$8:$J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0</v>
      </c>
      <c r="L12" s="12" t="n">
        <f aca="false">IF(L$2&gt;=Parâmetros!$K9,INDEX(Volumes!$K$8:$K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5356</v>
      </c>
      <c r="M12" s="12" t="n">
        <f aca="false">IF(M$2&gt;=Parâmetros!$K9,INDEX(Volumes!$L$8:$L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5356</v>
      </c>
      <c r="N12" s="12" t="n">
        <f aca="false">IF(N$2&gt;=Parâmetros!$K9,INDEX(Volumes!$M$8:$M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5356</v>
      </c>
      <c r="O12" s="12" t="n">
        <f aca="false">IF(O$2&gt;=Parâmetros!$K9,INDEX(Volumes!$N$8:$N$13,MATCH(Parâmetros!$D9,Volumes!$A$8:$A$13,0))*Parâmetros!$E9*((Parâmetros!$F9*INDEX(Premissas!$C$7:$C$9,MATCH(Parâmetros!$H9,Premissas!$B$7:$B$9,0))+Parâmetros!$G9*INDEX(Premissas!$D$7:$D$9,MATCH(Parâmetros!$H9,Premissas!$B$7:$B$9,0)))/1000000*Premissas!$B$2+Parâmetros!$I9),0)</f>
        <v>5356</v>
      </c>
      <c r="P12" s="19" t="n">
        <f aca="false">SUM(D12:O12)</f>
        <v>21424</v>
      </c>
    </row>
    <row r="13" customFormat="false" ht="15" hidden="false" customHeight="false" outlineLevel="0" collapsed="false">
      <c r="A13" s="5" t="str">
        <f aca="false">Parâmetros!A10</f>
        <v>X1</v>
      </c>
      <c r="B13" s="5" t="str">
        <f aca="false">Parâmetros!B10</f>
        <v>Recursos de nuvem sem piloto atribuído</v>
      </c>
      <c r="C13" s="5" t="str">
        <f aca="false">Parâmetros!C10</f>
        <v>Não atribuído</v>
      </c>
      <c r="D13" s="12" t="n">
        <f aca="false">IF(D$2&gt;=Parâmetros!$K10,INDEX(Volumes!$C$8:$C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E13" s="12" t="n">
        <f aca="false">IF(E$2&gt;=Parâmetros!$K10,INDEX(Volumes!$D$8:$D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F13" s="12" t="n">
        <f aca="false">IF(F$2&gt;=Parâmetros!$K10,INDEX(Volumes!$E$8:$E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G13" s="12" t="n">
        <f aca="false">IF(G$2&gt;=Parâmetros!$K10,INDEX(Volumes!$F$8:$F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H13" s="12" t="n">
        <f aca="false">IF(H$2&gt;=Parâmetros!$K10,INDEX(Volumes!$G$8:$G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I13" s="12" t="n">
        <f aca="false">IF(I$2&gt;=Parâmetros!$K10,INDEX(Volumes!$H$8:$H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J13" s="12" t="n">
        <f aca="false">IF(J$2&gt;=Parâmetros!$K10,INDEX(Volumes!$I$8:$I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K13" s="12" t="n">
        <f aca="false">IF(K$2&gt;=Parâmetros!$K10,INDEX(Volumes!$J$8:$J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L13" s="12" t="n">
        <f aca="false">IF(L$2&gt;=Parâmetros!$K10,INDEX(Volumes!$K$8:$K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M13" s="12" t="n">
        <f aca="false">IF(M$2&gt;=Parâmetros!$K10,INDEX(Volumes!$L$8:$L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N13" s="12" t="n">
        <f aca="false">IF(N$2&gt;=Parâmetros!$K10,INDEX(Volumes!$M$8:$M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O13" s="12" t="n">
        <f aca="false">IF(O$2&gt;=Parâmetros!$K10,INDEX(Volumes!$N$8:$N$13,MATCH(Parâmetros!$D10,Volumes!$A$8:$A$13,0))*Parâmetros!$E10*((Parâmetros!$F10*INDEX(Premissas!$C$7:$C$9,MATCH(Parâmetros!$H10,Premissas!$B$7:$B$9,0))+Parâmetros!$G10*INDEX(Premissas!$D$7:$D$9,MATCH(Parâmetros!$H10,Premissas!$B$7:$B$9,0)))/1000000*Premissas!$B$2+Parâmetros!$I10),0)</f>
        <v>0</v>
      </c>
      <c r="P13" s="19" t="n">
        <f aca="false">SUM(D13:O13)</f>
        <v>0</v>
      </c>
    </row>
    <row r="14" customFormat="false" ht="15" hidden="false" customHeight="false" outlineLevel="0" collapsed="false">
      <c r="B14" s="20" t="s">
        <v>121</v>
      </c>
      <c r="D14" s="19" t="n">
        <f aca="false">SUM(D5:D13)</f>
        <v>13200</v>
      </c>
      <c r="E14" s="19" t="n">
        <f aca="false">SUM(E5:E13)</f>
        <v>16170</v>
      </c>
      <c r="F14" s="19" t="n">
        <f aca="false">SUM(F5:F13)</f>
        <v>25043.75</v>
      </c>
      <c r="G14" s="19" t="n">
        <f aca="false">SUM(G5:G13)</f>
        <v>28013.75</v>
      </c>
      <c r="H14" s="19" t="n">
        <f aca="false">SUM(H5:H13)</f>
        <v>30983.75</v>
      </c>
      <c r="I14" s="19" t="n">
        <f aca="false">SUM(I5:I13)</f>
        <v>117211.817456</v>
      </c>
      <c r="J14" s="19" t="n">
        <f aca="false">SUM(J5:J13)</f>
        <v>386711.558128</v>
      </c>
      <c r="K14" s="19" t="n">
        <f aca="false">SUM(K5:K13)</f>
        <v>191149.186672</v>
      </c>
      <c r="L14" s="19" t="n">
        <f aca="false">SUM(L5:L13)</f>
        <v>227356.73624</v>
      </c>
      <c r="M14" s="19" t="n">
        <f aca="false">SUM(M5:M13)</f>
        <v>139153.601648</v>
      </c>
      <c r="N14" s="19" t="n">
        <f aca="false">SUM(N5:N13)</f>
        <v>161287.856752</v>
      </c>
      <c r="O14" s="19" t="n">
        <f aca="false">SUM(O5:O13)</f>
        <v>262824.446704</v>
      </c>
      <c r="P14" s="19" t="n">
        <f aca="false">SUM(P5:P13)</f>
        <v>1599106.4536</v>
      </c>
    </row>
    <row r="17" customFormat="false" ht="15" hidden="false" customHeight="false" outlineLevel="0" collapsed="false">
      <c r="A17" s="8" t="s">
        <v>122</v>
      </c>
    </row>
    <row r="18" customFormat="false" ht="23.85" hidden="false" customHeight="false" outlineLevel="0" collapsed="false">
      <c r="A18" s="9" t="s">
        <v>71</v>
      </c>
      <c r="B18" s="9" t="s">
        <v>72</v>
      </c>
      <c r="C18" s="9" t="s">
        <v>73</v>
      </c>
      <c r="D18" s="9" t="s">
        <v>41</v>
      </c>
      <c r="E18" s="9" t="s">
        <v>42</v>
      </c>
      <c r="F18" s="9" t="s">
        <v>43</v>
      </c>
      <c r="G18" s="9" t="s">
        <v>44</v>
      </c>
      <c r="H18" s="9" t="s">
        <v>45</v>
      </c>
      <c r="I18" s="9" t="s">
        <v>46</v>
      </c>
      <c r="J18" s="9" t="s">
        <v>47</v>
      </c>
      <c r="K18" s="9" t="s">
        <v>48</v>
      </c>
      <c r="L18" s="9" t="s">
        <v>49</v>
      </c>
      <c r="M18" s="9" t="s">
        <v>50</v>
      </c>
      <c r="N18" s="9" t="s">
        <v>51</v>
      </c>
      <c r="O18" s="9" t="s">
        <v>52</v>
      </c>
      <c r="P18" s="9" t="s">
        <v>120</v>
      </c>
    </row>
    <row r="19" customFormat="false" ht="15" hidden="false" customHeight="false" outlineLevel="0" collapsed="false">
      <c r="A19" s="5" t="str">
        <f aca="false">Parâmetros!A2</f>
        <v>P01</v>
      </c>
      <c r="B19" s="5" t="str">
        <f aca="false">Parâmetros!B2</f>
        <v>Agente de SAC com RAG</v>
      </c>
      <c r="C19" s="5" t="str">
        <f aca="false">Parâmetros!C2</f>
        <v>Marketplace e e-commerce</v>
      </c>
      <c r="D19" s="12" t="n">
        <f aca="false">IF(D$2&gt;=Parâmetros!$K2,Parâmetros!$J2,0)</f>
        <v>0</v>
      </c>
      <c r="E19" s="12" t="n">
        <f aca="false">IF(E$2&gt;=Parâmetros!$K2,Parâmetros!$J2,0)</f>
        <v>0</v>
      </c>
      <c r="F19" s="12" t="n">
        <f aca="false">IF(F$2&gt;=Parâmetros!$K2,Parâmetros!$J2,0)</f>
        <v>0</v>
      </c>
      <c r="G19" s="12" t="n">
        <f aca="false">IF(G$2&gt;=Parâmetros!$K2,Parâmetros!$J2,0)</f>
        <v>0</v>
      </c>
      <c r="H19" s="12" t="n">
        <f aca="false">IF(H$2&gt;=Parâmetros!$K2,Parâmetros!$J2,0)</f>
        <v>0</v>
      </c>
      <c r="I19" s="12" t="n">
        <f aca="false">IF(I$2&gt;=Parâmetros!$K2,Parâmetros!$J2,0)</f>
        <v>12000</v>
      </c>
      <c r="J19" s="12" t="n">
        <f aca="false">IF(J$2&gt;=Parâmetros!$K2,Parâmetros!$J2,0)</f>
        <v>12000</v>
      </c>
      <c r="K19" s="12" t="n">
        <f aca="false">IF(K$2&gt;=Parâmetros!$K2,Parâmetros!$J2,0)</f>
        <v>12000</v>
      </c>
      <c r="L19" s="12" t="n">
        <f aca="false">IF(L$2&gt;=Parâmetros!$K2,Parâmetros!$J2,0)</f>
        <v>12000</v>
      </c>
      <c r="M19" s="12" t="n">
        <f aca="false">IF(M$2&gt;=Parâmetros!$K2,Parâmetros!$J2,0)</f>
        <v>12000</v>
      </c>
      <c r="N19" s="12" t="n">
        <f aca="false">IF(N$2&gt;=Parâmetros!$K2,Parâmetros!$J2,0)</f>
        <v>12000</v>
      </c>
      <c r="O19" s="12" t="n">
        <f aca="false">IF(O$2&gt;=Parâmetros!$K2,Parâmetros!$J2,0)</f>
        <v>12000</v>
      </c>
      <c r="P19" s="19" t="n">
        <f aca="false">SUM(D19:O19)</f>
        <v>84000</v>
      </c>
    </row>
    <row r="20" customFormat="false" ht="15" hidden="false" customHeight="false" outlineLevel="0" collapsed="false">
      <c r="A20" s="5" t="str">
        <f aca="false">Parâmetros!A3</f>
        <v>P02</v>
      </c>
      <c r="B20" s="5" t="str">
        <f aca="false">Parâmetros!B3</f>
        <v>Recompra + campanhas personalizadas</v>
      </c>
      <c r="C20" s="5" t="str">
        <f aca="false">Parâmetros!C3</f>
        <v>Marketplace e e-commerce</v>
      </c>
      <c r="D20" s="12" t="n">
        <f aca="false">IF(D$2&gt;=Parâmetros!$K3,Parâmetros!$J3,0)</f>
        <v>0</v>
      </c>
      <c r="E20" s="12" t="n">
        <f aca="false">IF(E$2&gt;=Parâmetros!$K3,Parâmetros!$J3,0)</f>
        <v>0</v>
      </c>
      <c r="F20" s="12" t="n">
        <f aca="false">IF(F$2&gt;=Parâmetros!$K3,Parâmetros!$J3,0)</f>
        <v>12000</v>
      </c>
      <c r="G20" s="12" t="n">
        <f aca="false">IF(G$2&gt;=Parâmetros!$K3,Parâmetros!$J3,0)</f>
        <v>12000</v>
      </c>
      <c r="H20" s="12" t="n">
        <f aca="false">IF(H$2&gt;=Parâmetros!$K3,Parâmetros!$J3,0)</f>
        <v>12000</v>
      </c>
      <c r="I20" s="12" t="n">
        <f aca="false">IF(I$2&gt;=Parâmetros!$K3,Parâmetros!$J3,0)</f>
        <v>12000</v>
      </c>
      <c r="J20" s="12" t="n">
        <f aca="false">IF(J$2&gt;=Parâmetros!$K3,Parâmetros!$J3,0)</f>
        <v>12000</v>
      </c>
      <c r="K20" s="12" t="n">
        <f aca="false">IF(K$2&gt;=Parâmetros!$K3,Parâmetros!$J3,0)</f>
        <v>12000</v>
      </c>
      <c r="L20" s="12" t="n">
        <f aca="false">IF(L$2&gt;=Parâmetros!$K3,Parâmetros!$J3,0)</f>
        <v>12000</v>
      </c>
      <c r="M20" s="12" t="n">
        <f aca="false">IF(M$2&gt;=Parâmetros!$K3,Parâmetros!$J3,0)</f>
        <v>12000</v>
      </c>
      <c r="N20" s="12" t="n">
        <f aca="false">IF(N$2&gt;=Parâmetros!$K3,Parâmetros!$J3,0)</f>
        <v>12000</v>
      </c>
      <c r="O20" s="12" t="n">
        <f aca="false">IF(O$2&gt;=Parâmetros!$K3,Parâmetros!$J3,0)</f>
        <v>12000</v>
      </c>
      <c r="P20" s="19" t="n">
        <f aca="false">SUM(D20:O20)</f>
        <v>120000</v>
      </c>
    </row>
    <row r="21" customFormat="false" ht="15" hidden="false" customHeight="false" outlineLevel="0" collapsed="false">
      <c r="A21" s="5" t="str">
        <f aca="false">Parâmetros!A4</f>
        <v>P03</v>
      </c>
      <c r="B21" s="5" t="str">
        <f aca="false">Parâmetros!B4</f>
        <v>Agente de tratativa de atrasos</v>
      </c>
      <c r="C21" s="5" t="str">
        <f aca="false">Parâmetros!C4</f>
        <v>Logística</v>
      </c>
      <c r="D21" s="12" t="n">
        <f aca="false">IF(D$2&gt;=Parâmetros!$K4,Parâmetros!$J4,0)</f>
        <v>0</v>
      </c>
      <c r="E21" s="12" t="n">
        <f aca="false">IF(E$2&gt;=Parâmetros!$K4,Parâmetros!$J4,0)</f>
        <v>0</v>
      </c>
      <c r="F21" s="12" t="n">
        <f aca="false">IF(F$2&gt;=Parâmetros!$K4,Parâmetros!$J4,0)</f>
        <v>0</v>
      </c>
      <c r="G21" s="12" t="n">
        <f aca="false">IF(G$2&gt;=Parâmetros!$K4,Parâmetros!$J4,0)</f>
        <v>0</v>
      </c>
      <c r="H21" s="12" t="n">
        <f aca="false">IF(H$2&gt;=Parâmetros!$K4,Parâmetros!$J4,0)</f>
        <v>0</v>
      </c>
      <c r="I21" s="12" t="n">
        <f aca="false">IF(I$2&gt;=Parâmetros!$K4,Parâmetros!$J4,0)</f>
        <v>0</v>
      </c>
      <c r="J21" s="12" t="n">
        <f aca="false">IF(J$2&gt;=Parâmetros!$K4,Parâmetros!$J4,0)</f>
        <v>9000</v>
      </c>
      <c r="K21" s="12" t="n">
        <f aca="false">IF(K$2&gt;=Parâmetros!$K4,Parâmetros!$J4,0)</f>
        <v>9000</v>
      </c>
      <c r="L21" s="12" t="n">
        <f aca="false">IF(L$2&gt;=Parâmetros!$K4,Parâmetros!$J4,0)</f>
        <v>9000</v>
      </c>
      <c r="M21" s="12" t="n">
        <f aca="false">IF(M$2&gt;=Parâmetros!$K4,Parâmetros!$J4,0)</f>
        <v>9000</v>
      </c>
      <c r="N21" s="12" t="n">
        <f aca="false">IF(N$2&gt;=Parâmetros!$K4,Parâmetros!$J4,0)</f>
        <v>9000</v>
      </c>
      <c r="O21" s="12" t="n">
        <f aca="false">IF(O$2&gt;=Parâmetros!$K4,Parâmetros!$J4,0)</f>
        <v>9000</v>
      </c>
      <c r="P21" s="19" t="n">
        <f aca="false">SUM(D21:O21)</f>
        <v>54000</v>
      </c>
    </row>
    <row r="22" customFormat="false" ht="15" hidden="false" customHeight="false" outlineLevel="0" collapsed="false">
      <c r="A22" s="5" t="str">
        <f aca="false">Parâmetros!A5</f>
        <v>P04</v>
      </c>
      <c r="B22" s="5" t="str">
        <f aca="false">Parâmetros!B5</f>
        <v>App de escala de equipe</v>
      </c>
      <c r="C22" s="5" t="str">
        <f aca="false">Parâmetros!C5</f>
        <v>Lojas físicas</v>
      </c>
      <c r="D22" s="12" t="n">
        <f aca="false">IF(D$2&gt;=Parâmetros!$K5,Parâmetros!$J5,0)</f>
        <v>0</v>
      </c>
      <c r="E22" s="12" t="n">
        <f aca="false">IF(E$2&gt;=Parâmetros!$K5,Parâmetros!$J5,0)</f>
        <v>0</v>
      </c>
      <c r="F22" s="12" t="n">
        <f aca="false">IF(F$2&gt;=Parâmetros!$K5,Parâmetros!$J5,0)</f>
        <v>0</v>
      </c>
      <c r="G22" s="12" t="n">
        <f aca="false">IF(G$2&gt;=Parâmetros!$K5,Parâmetros!$J5,0)</f>
        <v>0</v>
      </c>
      <c r="H22" s="12" t="n">
        <f aca="false">IF(H$2&gt;=Parâmetros!$K5,Parâmetros!$J5,0)</f>
        <v>0</v>
      </c>
      <c r="I22" s="12" t="n">
        <f aca="false">IF(I$2&gt;=Parâmetros!$K5,Parâmetros!$J5,0)</f>
        <v>0</v>
      </c>
      <c r="J22" s="12" t="n">
        <f aca="false">IF(J$2&gt;=Parâmetros!$K5,Parâmetros!$J5,0)</f>
        <v>0</v>
      </c>
      <c r="K22" s="12" t="n">
        <f aca="false">IF(K$2&gt;=Parâmetros!$K5,Parâmetros!$J5,0)</f>
        <v>600</v>
      </c>
      <c r="L22" s="12" t="n">
        <f aca="false">IF(L$2&gt;=Parâmetros!$K5,Parâmetros!$J5,0)</f>
        <v>600</v>
      </c>
      <c r="M22" s="12" t="n">
        <f aca="false">IF(M$2&gt;=Parâmetros!$K5,Parâmetros!$J5,0)</f>
        <v>600</v>
      </c>
      <c r="N22" s="12" t="n">
        <f aca="false">IF(N$2&gt;=Parâmetros!$K5,Parâmetros!$J5,0)</f>
        <v>600</v>
      </c>
      <c r="O22" s="12" t="n">
        <f aca="false">IF(O$2&gt;=Parâmetros!$K5,Parâmetros!$J5,0)</f>
        <v>600</v>
      </c>
      <c r="P22" s="19" t="n">
        <f aca="false">SUM(D22:O22)</f>
        <v>3000</v>
      </c>
    </row>
    <row r="23" customFormat="false" ht="23.85" hidden="false" customHeight="false" outlineLevel="0" collapsed="false">
      <c r="A23" s="5" t="str">
        <f aca="false">Parâmetros!A6</f>
        <v>P05</v>
      </c>
      <c r="B23" s="5" t="str">
        <f aca="false">Parâmetros!B6</f>
        <v>Assistentes de IA de uso geral</v>
      </c>
      <c r="C23" s="5" t="str">
        <f aca="false">Parâmetros!C6</f>
        <v>Lojas físicas e áreas corporativas</v>
      </c>
      <c r="D23" s="12" t="n">
        <f aca="false">IF(D$2&gt;=Parâmetros!$K6,Parâmetros!$J6,0)</f>
        <v>0</v>
      </c>
      <c r="E23" s="12" t="n">
        <f aca="false">IF(E$2&gt;=Parâmetros!$K6,Parâmetros!$J6,0)</f>
        <v>0</v>
      </c>
      <c r="F23" s="12" t="n">
        <f aca="false">IF(F$2&gt;=Parâmetros!$K6,Parâmetros!$J6,0)</f>
        <v>0</v>
      </c>
      <c r="G23" s="12" t="n">
        <f aca="false">IF(G$2&gt;=Parâmetros!$K6,Parâmetros!$J6,0)</f>
        <v>0</v>
      </c>
      <c r="H23" s="12" t="n">
        <f aca="false">IF(H$2&gt;=Parâmetros!$K6,Parâmetros!$J6,0)</f>
        <v>0</v>
      </c>
      <c r="I23" s="12" t="n">
        <f aca="false">IF(I$2&gt;=Parâmetros!$K6,Parâmetros!$J6,0)</f>
        <v>0</v>
      </c>
      <c r="J23" s="12" t="n">
        <f aca="false">IF(J$2&gt;=Parâmetros!$K6,Parâmetros!$J6,0)</f>
        <v>0</v>
      </c>
      <c r="K23" s="12" t="n">
        <f aca="false">IF(K$2&gt;=Parâmetros!$K6,Parâmetros!$J6,0)</f>
        <v>0</v>
      </c>
      <c r="L23" s="12" t="n">
        <f aca="false">IF(L$2&gt;=Parâmetros!$K6,Parâmetros!$J6,0)</f>
        <v>0</v>
      </c>
      <c r="M23" s="12" t="n">
        <f aca="false">IF(M$2&gt;=Parâmetros!$K6,Parâmetros!$J6,0)</f>
        <v>0</v>
      </c>
      <c r="N23" s="12" t="n">
        <f aca="false">IF(N$2&gt;=Parâmetros!$K6,Parâmetros!$J6,0)</f>
        <v>0</v>
      </c>
      <c r="O23" s="12" t="n">
        <f aca="false">IF(O$2&gt;=Parâmetros!$K6,Parâmetros!$J6,0)</f>
        <v>0</v>
      </c>
      <c r="P23" s="19" t="n">
        <f aca="false">SUM(D23:O23)</f>
        <v>0</v>
      </c>
    </row>
    <row r="24" customFormat="false" ht="15" hidden="false" customHeight="false" outlineLevel="0" collapsed="false">
      <c r="A24" s="5" t="str">
        <f aca="false">Parâmetros!A7</f>
        <v>P06</v>
      </c>
      <c r="B24" s="5" t="str">
        <f aca="false">Parâmetros!B7</f>
        <v>Modelo de crédito a sellers</v>
      </c>
      <c r="C24" s="5" t="str">
        <f aca="false">Parâmetros!C7</f>
        <v>Serviços financeiros</v>
      </c>
      <c r="D24" s="12" t="n">
        <f aca="false">IF(D$2&gt;=Parâmetros!$K7,Parâmetros!$J7,0)</f>
        <v>35000</v>
      </c>
      <c r="E24" s="12" t="n">
        <f aca="false">IF(E$2&gt;=Parâmetros!$K7,Parâmetros!$J7,0)</f>
        <v>35000</v>
      </c>
      <c r="F24" s="12" t="n">
        <f aca="false">IF(F$2&gt;=Parâmetros!$K7,Parâmetros!$J7,0)</f>
        <v>35000</v>
      </c>
      <c r="G24" s="12" t="n">
        <f aca="false">IF(G$2&gt;=Parâmetros!$K7,Parâmetros!$J7,0)</f>
        <v>35000</v>
      </c>
      <c r="H24" s="12" t="n">
        <f aca="false">IF(H$2&gt;=Parâmetros!$K7,Parâmetros!$J7,0)</f>
        <v>35000</v>
      </c>
      <c r="I24" s="12" t="n">
        <f aca="false">IF(I$2&gt;=Parâmetros!$K7,Parâmetros!$J7,0)</f>
        <v>35000</v>
      </c>
      <c r="J24" s="12" t="n">
        <f aca="false">IF(J$2&gt;=Parâmetros!$K7,Parâmetros!$J7,0)</f>
        <v>35000</v>
      </c>
      <c r="K24" s="12" t="n">
        <f aca="false">IF(K$2&gt;=Parâmetros!$K7,Parâmetros!$J7,0)</f>
        <v>35000</v>
      </c>
      <c r="L24" s="12" t="n">
        <f aca="false">IF(L$2&gt;=Parâmetros!$K7,Parâmetros!$J7,0)</f>
        <v>35000</v>
      </c>
      <c r="M24" s="12" t="n">
        <f aca="false">IF(M$2&gt;=Parâmetros!$K7,Parâmetros!$J7,0)</f>
        <v>35000</v>
      </c>
      <c r="N24" s="12" t="n">
        <f aca="false">IF(N$2&gt;=Parâmetros!$K7,Parâmetros!$J7,0)</f>
        <v>35000</v>
      </c>
      <c r="O24" s="12" t="n">
        <f aca="false">IF(O$2&gt;=Parâmetros!$K7,Parâmetros!$J7,0)</f>
        <v>35000</v>
      </c>
      <c r="P24" s="19" t="n">
        <f aca="false">SUM(D24:O24)</f>
        <v>420000</v>
      </c>
    </row>
    <row r="25" customFormat="false" ht="15" hidden="false" customHeight="false" outlineLevel="0" collapsed="false">
      <c r="A25" s="5" t="str">
        <f aca="false">Parâmetros!A8</f>
        <v>P07</v>
      </c>
      <c r="B25" s="5" t="str">
        <f aca="false">Parâmetros!B8</f>
        <v>Antifraude de pagamentos</v>
      </c>
      <c r="C25" s="5" t="str">
        <f aca="false">Parâmetros!C8</f>
        <v>Serviços financeiros</v>
      </c>
      <c r="D25" s="12" t="n">
        <f aca="false">IF(D$2&gt;=Parâmetros!$K8,Parâmetros!$J8,0)</f>
        <v>95000</v>
      </c>
      <c r="E25" s="12" t="n">
        <f aca="false">IF(E$2&gt;=Parâmetros!$K8,Parâmetros!$J8,0)</f>
        <v>95000</v>
      </c>
      <c r="F25" s="12" t="n">
        <f aca="false">IF(F$2&gt;=Parâmetros!$K8,Parâmetros!$J8,0)</f>
        <v>95000</v>
      </c>
      <c r="G25" s="12" t="n">
        <f aca="false">IF(G$2&gt;=Parâmetros!$K8,Parâmetros!$J8,0)</f>
        <v>95000</v>
      </c>
      <c r="H25" s="12" t="n">
        <f aca="false">IF(H$2&gt;=Parâmetros!$K8,Parâmetros!$J8,0)</f>
        <v>95000</v>
      </c>
      <c r="I25" s="12" t="n">
        <f aca="false">IF(I$2&gt;=Parâmetros!$K8,Parâmetros!$J8,0)</f>
        <v>95000</v>
      </c>
      <c r="J25" s="12" t="n">
        <f aca="false">IF(J$2&gt;=Parâmetros!$K8,Parâmetros!$J8,0)</f>
        <v>95000</v>
      </c>
      <c r="K25" s="12" t="n">
        <f aca="false">IF(K$2&gt;=Parâmetros!$K8,Parâmetros!$J8,0)</f>
        <v>95000</v>
      </c>
      <c r="L25" s="12" t="n">
        <f aca="false">IF(L$2&gt;=Parâmetros!$K8,Parâmetros!$J8,0)</f>
        <v>95000</v>
      </c>
      <c r="M25" s="12" t="n">
        <f aca="false">IF(M$2&gt;=Parâmetros!$K8,Parâmetros!$J8,0)</f>
        <v>95000</v>
      </c>
      <c r="N25" s="12" t="n">
        <f aca="false">IF(N$2&gt;=Parâmetros!$K8,Parâmetros!$J8,0)</f>
        <v>95000</v>
      </c>
      <c r="O25" s="12" t="n">
        <f aca="false">IF(O$2&gt;=Parâmetros!$K8,Parâmetros!$J8,0)</f>
        <v>95000</v>
      </c>
      <c r="P25" s="19" t="n">
        <f aca="false">SUM(D25:O25)</f>
        <v>1140000</v>
      </c>
    </row>
    <row r="26" customFormat="false" ht="15" hidden="false" customHeight="false" outlineLevel="0" collapsed="false">
      <c r="A26" s="5" t="str">
        <f aca="false">Parâmetros!A9</f>
        <v>P08</v>
      </c>
      <c r="B26" s="5" t="str">
        <f aca="false">Parâmetros!B9</f>
        <v>Assistente interno de RH e políticas</v>
      </c>
      <c r="C26" s="5" t="str">
        <f aca="false">Parâmetros!C9</f>
        <v>Corporativo</v>
      </c>
      <c r="D26" s="12" t="n">
        <f aca="false">IF(D$2&gt;=Parâmetros!$K9,Parâmetros!$J9,0)</f>
        <v>0</v>
      </c>
      <c r="E26" s="12" t="n">
        <f aca="false">IF(E$2&gt;=Parâmetros!$K9,Parâmetros!$J9,0)</f>
        <v>0</v>
      </c>
      <c r="F26" s="12" t="n">
        <f aca="false">IF(F$2&gt;=Parâmetros!$K9,Parâmetros!$J9,0)</f>
        <v>0</v>
      </c>
      <c r="G26" s="12" t="n">
        <f aca="false">IF(G$2&gt;=Parâmetros!$K9,Parâmetros!$J9,0)</f>
        <v>0</v>
      </c>
      <c r="H26" s="12" t="n">
        <f aca="false">IF(H$2&gt;=Parâmetros!$K9,Parâmetros!$J9,0)</f>
        <v>0</v>
      </c>
      <c r="I26" s="12" t="n">
        <f aca="false">IF(I$2&gt;=Parâmetros!$K9,Parâmetros!$J9,0)</f>
        <v>0</v>
      </c>
      <c r="J26" s="12" t="n">
        <f aca="false">IF(J$2&gt;=Parâmetros!$K9,Parâmetros!$J9,0)</f>
        <v>0</v>
      </c>
      <c r="K26" s="12" t="n">
        <f aca="false">IF(K$2&gt;=Parâmetros!$K9,Parâmetros!$J9,0)</f>
        <v>0</v>
      </c>
      <c r="L26" s="12" t="n">
        <f aca="false">IF(L$2&gt;=Parâmetros!$K9,Parâmetros!$J9,0)</f>
        <v>8000</v>
      </c>
      <c r="M26" s="12" t="n">
        <f aca="false">IF(M$2&gt;=Parâmetros!$K9,Parâmetros!$J9,0)</f>
        <v>8000</v>
      </c>
      <c r="N26" s="12" t="n">
        <f aca="false">IF(N$2&gt;=Parâmetros!$K9,Parâmetros!$J9,0)</f>
        <v>8000</v>
      </c>
      <c r="O26" s="12" t="n">
        <f aca="false">IF(O$2&gt;=Parâmetros!$K9,Parâmetros!$J9,0)</f>
        <v>8000</v>
      </c>
      <c r="P26" s="19" t="n">
        <f aca="false">SUM(D26:O26)</f>
        <v>32000</v>
      </c>
    </row>
    <row r="27" customFormat="false" ht="15" hidden="false" customHeight="false" outlineLevel="0" collapsed="false">
      <c r="A27" s="5" t="str">
        <f aca="false">Parâmetros!A10</f>
        <v>X1</v>
      </c>
      <c r="B27" s="5" t="str">
        <f aca="false">Parâmetros!B10</f>
        <v>Recursos de nuvem sem piloto atribuído</v>
      </c>
      <c r="C27" s="5" t="str">
        <f aca="false">Parâmetros!C10</f>
        <v>Não atribuído</v>
      </c>
      <c r="D27" s="12" t="n">
        <f aca="false">IF(D$2&gt;=Parâmetros!$K10,Parâmetros!$J10,0)</f>
        <v>0</v>
      </c>
      <c r="E27" s="12" t="n">
        <f aca="false">IF(E$2&gt;=Parâmetros!$K10,Parâmetros!$J10,0)</f>
        <v>0</v>
      </c>
      <c r="F27" s="12" t="n">
        <f aca="false">IF(F$2&gt;=Parâmetros!$K10,Parâmetros!$J10,0)</f>
        <v>0</v>
      </c>
      <c r="G27" s="12" t="n">
        <f aca="false">IF(G$2&gt;=Parâmetros!$K10,Parâmetros!$J10,0)</f>
        <v>0</v>
      </c>
      <c r="H27" s="12" t="n">
        <f aca="false">IF(H$2&gt;=Parâmetros!$K10,Parâmetros!$J10,0)</f>
        <v>0</v>
      </c>
      <c r="I27" s="12" t="n">
        <f aca="false">IF(I$2&gt;=Parâmetros!$K10,Parâmetros!$J10,0)</f>
        <v>0</v>
      </c>
      <c r="J27" s="12" t="n">
        <f aca="false">IF(J$2&gt;=Parâmetros!$K10,Parâmetros!$J10,0)</f>
        <v>0</v>
      </c>
      <c r="K27" s="12" t="n">
        <f aca="false">IF(K$2&gt;=Parâmetros!$K10,Parâmetros!$J10,0)</f>
        <v>85000</v>
      </c>
      <c r="L27" s="12" t="n">
        <f aca="false">IF(L$2&gt;=Parâmetros!$K10,Parâmetros!$J10,0)</f>
        <v>85000</v>
      </c>
      <c r="M27" s="12" t="n">
        <f aca="false">IF(M$2&gt;=Parâmetros!$K10,Parâmetros!$J10,0)</f>
        <v>85000</v>
      </c>
      <c r="N27" s="12" t="n">
        <f aca="false">IF(N$2&gt;=Parâmetros!$K10,Parâmetros!$J10,0)</f>
        <v>85000</v>
      </c>
      <c r="O27" s="12" t="n">
        <f aca="false">IF(O$2&gt;=Parâmetros!$K10,Parâmetros!$J10,0)</f>
        <v>85000</v>
      </c>
      <c r="P27" s="19" t="n">
        <f aca="false">SUM(D27:O27)</f>
        <v>425000</v>
      </c>
    </row>
    <row r="28" customFormat="false" ht="15" hidden="false" customHeight="false" outlineLevel="0" collapsed="false">
      <c r="B28" s="20" t="s">
        <v>121</v>
      </c>
      <c r="D28" s="19" t="n">
        <f aca="false">SUM(D19:D27)</f>
        <v>130000</v>
      </c>
      <c r="E28" s="19" t="n">
        <f aca="false">SUM(E19:E27)</f>
        <v>130000</v>
      </c>
      <c r="F28" s="19" t="n">
        <f aca="false">SUM(F19:F27)</f>
        <v>142000</v>
      </c>
      <c r="G28" s="19" t="n">
        <f aca="false">SUM(G19:G27)</f>
        <v>142000</v>
      </c>
      <c r="H28" s="19" t="n">
        <f aca="false">SUM(H19:H27)</f>
        <v>142000</v>
      </c>
      <c r="I28" s="19" t="n">
        <f aca="false">SUM(I19:I27)</f>
        <v>154000</v>
      </c>
      <c r="J28" s="19" t="n">
        <f aca="false">SUM(J19:J27)</f>
        <v>163000</v>
      </c>
      <c r="K28" s="19" t="n">
        <f aca="false">SUM(K19:K27)</f>
        <v>248600</v>
      </c>
      <c r="L28" s="19" t="n">
        <f aca="false">SUM(L19:L27)</f>
        <v>256600</v>
      </c>
      <c r="M28" s="19" t="n">
        <f aca="false">SUM(M19:M27)</f>
        <v>256600</v>
      </c>
      <c r="N28" s="19" t="n">
        <f aca="false">SUM(N19:N27)</f>
        <v>256600</v>
      </c>
      <c r="O28" s="19" t="n">
        <f aca="false">SUM(O19:O27)</f>
        <v>256600</v>
      </c>
      <c r="P28" s="19" t="n">
        <f aca="false">SUM(P19:P27)</f>
        <v>2278000</v>
      </c>
    </row>
    <row r="31" customFormat="false" ht="15" hidden="false" customHeight="false" outlineLevel="0" collapsed="false">
      <c r="A31" s="8" t="s">
        <v>123</v>
      </c>
    </row>
    <row r="32" customFormat="false" ht="23.85" hidden="false" customHeight="false" outlineLevel="0" collapsed="false">
      <c r="A32" s="9" t="s">
        <v>71</v>
      </c>
      <c r="B32" s="9" t="s">
        <v>72</v>
      </c>
      <c r="C32" s="9" t="s">
        <v>73</v>
      </c>
      <c r="D32" s="9" t="s">
        <v>41</v>
      </c>
      <c r="E32" s="9" t="s">
        <v>42</v>
      </c>
      <c r="F32" s="9" t="s">
        <v>43</v>
      </c>
      <c r="G32" s="9" t="s">
        <v>44</v>
      </c>
      <c r="H32" s="9" t="s">
        <v>45</v>
      </c>
      <c r="I32" s="9" t="s">
        <v>46</v>
      </c>
      <c r="J32" s="9" t="s">
        <v>47</v>
      </c>
      <c r="K32" s="9" t="s">
        <v>48</v>
      </c>
      <c r="L32" s="9" t="s">
        <v>49</v>
      </c>
      <c r="M32" s="9" t="s">
        <v>50</v>
      </c>
      <c r="N32" s="9" t="s">
        <v>51</v>
      </c>
      <c r="O32" s="9" t="s">
        <v>52</v>
      </c>
      <c r="P32" s="9" t="s">
        <v>120</v>
      </c>
    </row>
    <row r="33" customFormat="false" ht="15" hidden="false" customHeight="false" outlineLevel="0" collapsed="false">
      <c r="A33" s="5" t="str">
        <f aca="false">A5</f>
        <v>P01</v>
      </c>
      <c r="B33" s="5" t="str">
        <f aca="false">B5</f>
        <v>Agente de SAC com RAG</v>
      </c>
      <c r="C33" s="5" t="str">
        <f aca="false">C5</f>
        <v>Marketplace e e-commerce</v>
      </c>
      <c r="D33" s="12" t="n">
        <f aca="false">D5+D19</f>
        <v>0</v>
      </c>
      <c r="E33" s="12" t="n">
        <f aca="false">E5+E19</f>
        <v>0</v>
      </c>
      <c r="F33" s="12" t="n">
        <f aca="false">F5+F19</f>
        <v>0</v>
      </c>
      <c r="G33" s="12" t="n">
        <f aca="false">G5+G19</f>
        <v>0</v>
      </c>
      <c r="H33" s="12" t="n">
        <f aca="false">H5+H19</f>
        <v>0</v>
      </c>
      <c r="I33" s="12" t="n">
        <f aca="false">I5+I19</f>
        <v>95258.067456</v>
      </c>
      <c r="J33" s="12" t="n">
        <f aca="false">J5+J19</f>
        <v>109533.808128</v>
      </c>
      <c r="K33" s="12" t="n">
        <f aca="false">K5+K19</f>
        <v>99961.116672</v>
      </c>
      <c r="L33" s="12" t="n">
        <f aca="false">L5+L19</f>
        <v>103369.86624</v>
      </c>
      <c r="M33" s="12" t="n">
        <f aca="false">M5+M19</f>
        <v>88581.531648</v>
      </c>
      <c r="N33" s="12" t="n">
        <f aca="false">N5+N19</f>
        <v>89837.386752</v>
      </c>
      <c r="O33" s="12" t="n">
        <f aca="false">O5+O19</f>
        <v>107124.616704</v>
      </c>
      <c r="P33" s="19" t="n">
        <f aca="false">SUM(D33:O33)</f>
        <v>693666.3936</v>
      </c>
    </row>
    <row r="34" customFormat="false" ht="15" hidden="false" customHeight="false" outlineLevel="0" collapsed="false">
      <c r="A34" s="5" t="str">
        <f aca="false">A6</f>
        <v>P02</v>
      </c>
      <c r="B34" s="5" t="str">
        <f aca="false">B6</f>
        <v>Recompra + campanhas personalizadas</v>
      </c>
      <c r="C34" s="5" t="str">
        <f aca="false">C6</f>
        <v>Marketplace e e-commerce</v>
      </c>
      <c r="D34" s="12" t="n">
        <f aca="false">D6+D20</f>
        <v>0</v>
      </c>
      <c r="E34" s="12" t="n">
        <f aca="false">E6+E20</f>
        <v>0</v>
      </c>
      <c r="F34" s="12" t="n">
        <f aca="false">F6+F20</f>
        <v>17793.75</v>
      </c>
      <c r="G34" s="12" t="n">
        <f aca="false">G6+G20</f>
        <v>17793.75</v>
      </c>
      <c r="H34" s="12" t="n">
        <f aca="false">H6+H20</f>
        <v>17793.75</v>
      </c>
      <c r="I34" s="12" t="n">
        <f aca="false">I6+I20</f>
        <v>17793.75</v>
      </c>
      <c r="J34" s="12" t="n">
        <f aca="false">J6+J20</f>
        <v>17793.75</v>
      </c>
      <c r="K34" s="12" t="n">
        <f aca="false">K6+K20</f>
        <v>17793.75</v>
      </c>
      <c r="L34" s="12" t="n">
        <f aca="false">L6+L20</f>
        <v>17793.75</v>
      </c>
      <c r="M34" s="12" t="n">
        <f aca="false">M6+M20</f>
        <v>17793.75</v>
      </c>
      <c r="N34" s="12" t="n">
        <f aca="false">N6+N20</f>
        <v>17793.75</v>
      </c>
      <c r="O34" s="12" t="n">
        <f aca="false">O6+O20</f>
        <v>17793.75</v>
      </c>
      <c r="P34" s="19" t="n">
        <f aca="false">SUM(D34:O34)</f>
        <v>177937.5</v>
      </c>
    </row>
    <row r="35" customFormat="false" ht="15" hidden="false" customHeight="false" outlineLevel="0" collapsed="false">
      <c r="A35" s="5" t="str">
        <f aca="false">A7</f>
        <v>P03</v>
      </c>
      <c r="B35" s="5" t="str">
        <f aca="false">B7</f>
        <v>Agente de tratativa de atrasos</v>
      </c>
      <c r="C35" s="5" t="str">
        <f aca="false">C7</f>
        <v>Logística</v>
      </c>
      <c r="D35" s="12" t="n">
        <f aca="false">D7+D21</f>
        <v>0</v>
      </c>
      <c r="E35" s="12" t="n">
        <f aca="false">E7+E21</f>
        <v>0</v>
      </c>
      <c r="F35" s="12" t="n">
        <f aca="false">F7+F21</f>
        <v>0</v>
      </c>
      <c r="G35" s="12" t="n">
        <f aca="false">G7+G21</f>
        <v>0</v>
      </c>
      <c r="H35" s="12" t="n">
        <f aca="false">H7+H21</f>
        <v>0</v>
      </c>
      <c r="I35" s="12" t="n">
        <f aca="false">I7+I21</f>
        <v>0</v>
      </c>
      <c r="J35" s="12" t="n">
        <f aca="false">J7+J21</f>
        <v>261144</v>
      </c>
      <c r="K35" s="12" t="n">
        <f aca="false">K7+K21</f>
        <v>72184.32</v>
      </c>
      <c r="L35" s="12" t="n">
        <f aca="false">L7+L21</f>
        <v>96657.12</v>
      </c>
      <c r="M35" s="12" t="n">
        <f aca="false">M7+M21</f>
        <v>20272.32</v>
      </c>
      <c r="N35" s="12" t="n">
        <f aca="false">N7+N21</f>
        <v>38070.72</v>
      </c>
      <c r="O35" s="12" t="n">
        <f aca="false">O7+O21</f>
        <v>119350.08</v>
      </c>
      <c r="P35" s="19" t="n">
        <f aca="false">SUM(D35:O35)</f>
        <v>607678.56</v>
      </c>
    </row>
    <row r="36" customFormat="false" ht="15" hidden="false" customHeight="false" outlineLevel="0" collapsed="false">
      <c r="A36" s="5" t="str">
        <f aca="false">A8</f>
        <v>P04</v>
      </c>
      <c r="B36" s="5" t="str">
        <f aca="false">B8</f>
        <v>App de escala de equipe</v>
      </c>
      <c r="C36" s="5" t="str">
        <f aca="false">C8</f>
        <v>Lojas físicas</v>
      </c>
      <c r="D36" s="12" t="n">
        <f aca="false">D8+D22</f>
        <v>0</v>
      </c>
      <c r="E36" s="12" t="n">
        <f aca="false">E8+E22</f>
        <v>0</v>
      </c>
      <c r="F36" s="12" t="n">
        <f aca="false">F8+F22</f>
        <v>0</v>
      </c>
      <c r="G36" s="12" t="n">
        <f aca="false">G8+G22</f>
        <v>0</v>
      </c>
      <c r="H36" s="12" t="n">
        <f aca="false">H8+H22</f>
        <v>0</v>
      </c>
      <c r="I36" s="12" t="n">
        <f aca="false">I8+I22</f>
        <v>0</v>
      </c>
      <c r="J36" s="12" t="n">
        <f aca="false">J8+J22</f>
        <v>0</v>
      </c>
      <c r="K36" s="12" t="n">
        <f aca="false">K8+K22</f>
        <v>600</v>
      </c>
      <c r="L36" s="12" t="n">
        <f aca="false">L8+L22</f>
        <v>600</v>
      </c>
      <c r="M36" s="12" t="n">
        <f aca="false">M8+M22</f>
        <v>600</v>
      </c>
      <c r="N36" s="12" t="n">
        <f aca="false">N8+N22</f>
        <v>600</v>
      </c>
      <c r="O36" s="12" t="n">
        <f aca="false">O8+O22</f>
        <v>600</v>
      </c>
      <c r="P36" s="19" t="n">
        <f aca="false">SUM(D36:O36)</f>
        <v>3000</v>
      </c>
    </row>
    <row r="37" customFormat="false" ht="23.85" hidden="false" customHeight="false" outlineLevel="0" collapsed="false">
      <c r="A37" s="5" t="str">
        <f aca="false">A9</f>
        <v>P05</v>
      </c>
      <c r="B37" s="5" t="str">
        <f aca="false">B9</f>
        <v>Assistentes de IA de uso geral</v>
      </c>
      <c r="C37" s="5" t="str">
        <f aca="false">C9</f>
        <v>Lojas físicas e áreas corporativas</v>
      </c>
      <c r="D37" s="12" t="n">
        <f aca="false">D9+D23</f>
        <v>13200</v>
      </c>
      <c r="E37" s="12" t="n">
        <f aca="false">E9+E23</f>
        <v>16170</v>
      </c>
      <c r="F37" s="12" t="n">
        <f aca="false">F9+F23</f>
        <v>19250</v>
      </c>
      <c r="G37" s="12" t="n">
        <f aca="false">G9+G23</f>
        <v>22220</v>
      </c>
      <c r="H37" s="12" t="n">
        <f aca="false">H9+H23</f>
        <v>25190</v>
      </c>
      <c r="I37" s="12" t="n">
        <f aca="false">I9+I23</f>
        <v>28160</v>
      </c>
      <c r="J37" s="12" t="n">
        <f aca="false">J9+J23</f>
        <v>31240</v>
      </c>
      <c r="K37" s="12" t="n">
        <f aca="false">K9+K23</f>
        <v>34210</v>
      </c>
      <c r="L37" s="12" t="n">
        <f aca="false">L9+L23</f>
        <v>37180</v>
      </c>
      <c r="M37" s="12" t="n">
        <f aca="false">M9+M23</f>
        <v>40150</v>
      </c>
      <c r="N37" s="12" t="n">
        <f aca="false">N9+N23</f>
        <v>43230</v>
      </c>
      <c r="O37" s="12" t="n">
        <f aca="false">O9+O23</f>
        <v>46200</v>
      </c>
      <c r="P37" s="19" t="n">
        <f aca="false">SUM(D37:O37)</f>
        <v>356400</v>
      </c>
    </row>
    <row r="38" customFormat="false" ht="15" hidden="false" customHeight="false" outlineLevel="0" collapsed="false">
      <c r="A38" s="5" t="str">
        <f aca="false">A10</f>
        <v>P06</v>
      </c>
      <c r="B38" s="5" t="str">
        <f aca="false">B10</f>
        <v>Modelo de crédito a sellers</v>
      </c>
      <c r="C38" s="5" t="str">
        <f aca="false">C10</f>
        <v>Serviços financeiros</v>
      </c>
      <c r="D38" s="12" t="n">
        <f aca="false">D10+D24</f>
        <v>35000</v>
      </c>
      <c r="E38" s="12" t="n">
        <f aca="false">E10+E24</f>
        <v>35000</v>
      </c>
      <c r="F38" s="12" t="n">
        <f aca="false">F10+F24</f>
        <v>35000</v>
      </c>
      <c r="G38" s="12" t="n">
        <f aca="false">G10+G24</f>
        <v>35000</v>
      </c>
      <c r="H38" s="12" t="n">
        <f aca="false">H10+H24</f>
        <v>35000</v>
      </c>
      <c r="I38" s="12" t="n">
        <f aca="false">I10+I24</f>
        <v>35000</v>
      </c>
      <c r="J38" s="12" t="n">
        <f aca="false">J10+J24</f>
        <v>35000</v>
      </c>
      <c r="K38" s="12" t="n">
        <f aca="false">K10+K24</f>
        <v>35000</v>
      </c>
      <c r="L38" s="12" t="n">
        <f aca="false">L10+L24</f>
        <v>35000</v>
      </c>
      <c r="M38" s="12" t="n">
        <f aca="false">M10+M24</f>
        <v>35000</v>
      </c>
      <c r="N38" s="12" t="n">
        <f aca="false">N10+N24</f>
        <v>35000</v>
      </c>
      <c r="O38" s="12" t="n">
        <f aca="false">O10+O24</f>
        <v>35000</v>
      </c>
      <c r="P38" s="19" t="n">
        <f aca="false">SUM(D38:O38)</f>
        <v>420000</v>
      </c>
    </row>
    <row r="39" customFormat="false" ht="15" hidden="false" customHeight="false" outlineLevel="0" collapsed="false">
      <c r="A39" s="5" t="str">
        <f aca="false">A11</f>
        <v>P07</v>
      </c>
      <c r="B39" s="5" t="str">
        <f aca="false">B11</f>
        <v>Antifraude de pagamentos</v>
      </c>
      <c r="C39" s="5" t="str">
        <f aca="false">C11</f>
        <v>Serviços financeiros</v>
      </c>
      <c r="D39" s="12" t="n">
        <f aca="false">D11+D25</f>
        <v>95000</v>
      </c>
      <c r="E39" s="12" t="n">
        <f aca="false">E11+E25</f>
        <v>95000</v>
      </c>
      <c r="F39" s="12" t="n">
        <f aca="false">F11+F25</f>
        <v>95000</v>
      </c>
      <c r="G39" s="12" t="n">
        <f aca="false">G11+G25</f>
        <v>95000</v>
      </c>
      <c r="H39" s="12" t="n">
        <f aca="false">H11+H25</f>
        <v>95000</v>
      </c>
      <c r="I39" s="12" t="n">
        <f aca="false">I11+I25</f>
        <v>95000</v>
      </c>
      <c r="J39" s="12" t="n">
        <f aca="false">J11+J25</f>
        <v>95000</v>
      </c>
      <c r="K39" s="12" t="n">
        <f aca="false">K11+K25</f>
        <v>95000</v>
      </c>
      <c r="L39" s="12" t="n">
        <f aca="false">L11+L25</f>
        <v>95000</v>
      </c>
      <c r="M39" s="12" t="n">
        <f aca="false">M11+M25</f>
        <v>95000</v>
      </c>
      <c r="N39" s="12" t="n">
        <f aca="false">N11+N25</f>
        <v>95000</v>
      </c>
      <c r="O39" s="12" t="n">
        <f aca="false">O11+O25</f>
        <v>95000</v>
      </c>
      <c r="P39" s="19" t="n">
        <f aca="false">SUM(D39:O39)</f>
        <v>1140000</v>
      </c>
    </row>
    <row r="40" customFormat="false" ht="15" hidden="false" customHeight="false" outlineLevel="0" collapsed="false">
      <c r="A40" s="5" t="str">
        <f aca="false">A12</f>
        <v>P08</v>
      </c>
      <c r="B40" s="5" t="str">
        <f aca="false">B12</f>
        <v>Assistente interno de RH e políticas</v>
      </c>
      <c r="C40" s="5" t="str">
        <f aca="false">C12</f>
        <v>Corporativo</v>
      </c>
      <c r="D40" s="12" t="n">
        <f aca="false">D12+D26</f>
        <v>0</v>
      </c>
      <c r="E40" s="12" t="n">
        <f aca="false">E12+E26</f>
        <v>0</v>
      </c>
      <c r="F40" s="12" t="n">
        <f aca="false">F12+F26</f>
        <v>0</v>
      </c>
      <c r="G40" s="12" t="n">
        <f aca="false">G12+G26</f>
        <v>0</v>
      </c>
      <c r="H40" s="12" t="n">
        <f aca="false">H12+H26</f>
        <v>0</v>
      </c>
      <c r="I40" s="12" t="n">
        <f aca="false">I12+I26</f>
        <v>0</v>
      </c>
      <c r="J40" s="12" t="n">
        <f aca="false">J12+J26</f>
        <v>0</v>
      </c>
      <c r="K40" s="12" t="n">
        <f aca="false">K12+K26</f>
        <v>0</v>
      </c>
      <c r="L40" s="12" t="n">
        <f aca="false">L12+L26</f>
        <v>13356</v>
      </c>
      <c r="M40" s="12" t="n">
        <f aca="false">M12+M26</f>
        <v>13356</v>
      </c>
      <c r="N40" s="12" t="n">
        <f aca="false">N12+N26</f>
        <v>13356</v>
      </c>
      <c r="O40" s="12" t="n">
        <f aca="false">O12+O26</f>
        <v>13356</v>
      </c>
      <c r="P40" s="19" t="n">
        <f aca="false">SUM(D40:O40)</f>
        <v>53424</v>
      </c>
    </row>
    <row r="41" customFormat="false" ht="15" hidden="false" customHeight="false" outlineLevel="0" collapsed="false">
      <c r="A41" s="5" t="str">
        <f aca="false">A13</f>
        <v>X1</v>
      </c>
      <c r="B41" s="5" t="str">
        <f aca="false">B13</f>
        <v>Recursos de nuvem sem piloto atribuído</v>
      </c>
      <c r="C41" s="5" t="str">
        <f aca="false">C13</f>
        <v>Não atribuído</v>
      </c>
      <c r="D41" s="12" t="n">
        <f aca="false">D13+D27</f>
        <v>0</v>
      </c>
      <c r="E41" s="12" t="n">
        <f aca="false">E13+E27</f>
        <v>0</v>
      </c>
      <c r="F41" s="12" t="n">
        <f aca="false">F13+F27</f>
        <v>0</v>
      </c>
      <c r="G41" s="12" t="n">
        <f aca="false">G13+G27</f>
        <v>0</v>
      </c>
      <c r="H41" s="12" t="n">
        <f aca="false">H13+H27</f>
        <v>0</v>
      </c>
      <c r="I41" s="12" t="n">
        <f aca="false">I13+I27</f>
        <v>0</v>
      </c>
      <c r="J41" s="12" t="n">
        <f aca="false">J13+J27</f>
        <v>0</v>
      </c>
      <c r="K41" s="12" t="n">
        <f aca="false">K13+K27</f>
        <v>85000</v>
      </c>
      <c r="L41" s="12" t="n">
        <f aca="false">L13+L27</f>
        <v>85000</v>
      </c>
      <c r="M41" s="12" t="n">
        <f aca="false">M13+M27</f>
        <v>85000</v>
      </c>
      <c r="N41" s="12" t="n">
        <f aca="false">N13+N27</f>
        <v>85000</v>
      </c>
      <c r="O41" s="12" t="n">
        <f aca="false">O13+O27</f>
        <v>85000</v>
      </c>
      <c r="P41" s="19" t="n">
        <f aca="false">SUM(D41:O41)</f>
        <v>425000</v>
      </c>
    </row>
    <row r="42" customFormat="false" ht="15" hidden="false" customHeight="false" outlineLevel="0" collapsed="false">
      <c r="B42" s="20" t="s">
        <v>124</v>
      </c>
      <c r="D42" s="19" t="n">
        <f aca="false">SUM(D33:D41)</f>
        <v>143200</v>
      </c>
      <c r="E42" s="19" t="n">
        <f aca="false">SUM(E33:E41)</f>
        <v>146170</v>
      </c>
      <c r="F42" s="19" t="n">
        <f aca="false">SUM(F33:F41)</f>
        <v>167043.75</v>
      </c>
      <c r="G42" s="19" t="n">
        <f aca="false">SUM(G33:G41)</f>
        <v>170013.75</v>
      </c>
      <c r="H42" s="19" t="n">
        <f aca="false">SUM(H33:H41)</f>
        <v>172983.75</v>
      </c>
      <c r="I42" s="19" t="n">
        <f aca="false">SUM(I33:I41)</f>
        <v>271211.817456</v>
      </c>
      <c r="J42" s="19" t="n">
        <f aca="false">SUM(J33:J41)</f>
        <v>549711.558128</v>
      </c>
      <c r="K42" s="19" t="n">
        <f aca="false">SUM(K33:K41)</f>
        <v>439749.186672</v>
      </c>
      <c r="L42" s="19" t="n">
        <f aca="false">SUM(L33:L41)</f>
        <v>483956.73624</v>
      </c>
      <c r="M42" s="19" t="n">
        <f aca="false">SUM(M33:M41)</f>
        <v>395753.601648</v>
      </c>
      <c r="N42" s="19" t="n">
        <f aca="false">SUM(N33:N41)</f>
        <v>417887.856752</v>
      </c>
      <c r="O42" s="19" t="n">
        <f aca="false">SUM(O33:O41)</f>
        <v>519424.446704</v>
      </c>
      <c r="P42" s="19" t="n">
        <f aca="false">SUM(P33:P41)</f>
        <v>3877106.4536</v>
      </c>
    </row>
    <row r="45" customFormat="false" ht="15" hidden="false" customHeight="false" outlineLevel="0" collapsed="false">
      <c r="A45" s="8" t="s">
        <v>125</v>
      </c>
    </row>
    <row r="46" customFormat="false" ht="23.85" hidden="false" customHeight="false" outlineLevel="0" collapsed="false">
      <c r="A46" s="9"/>
      <c r="B46" s="9" t="s">
        <v>73</v>
      </c>
      <c r="C46" s="9"/>
      <c r="D46" s="9" t="s">
        <v>41</v>
      </c>
      <c r="E46" s="9" t="s">
        <v>42</v>
      </c>
      <c r="F46" s="9" t="s">
        <v>43</v>
      </c>
      <c r="G46" s="9" t="s">
        <v>44</v>
      </c>
      <c r="H46" s="9" t="s">
        <v>45</v>
      </c>
      <c r="I46" s="9" t="s">
        <v>46</v>
      </c>
      <c r="J46" s="9" t="s">
        <v>47</v>
      </c>
      <c r="K46" s="9" t="s">
        <v>48</v>
      </c>
      <c r="L46" s="9" t="s">
        <v>49</v>
      </c>
      <c r="M46" s="9" t="s">
        <v>50</v>
      </c>
      <c r="N46" s="9" t="s">
        <v>51</v>
      </c>
      <c r="O46" s="9" t="s">
        <v>52</v>
      </c>
      <c r="P46" s="9" t="s">
        <v>120</v>
      </c>
    </row>
    <row r="47" customFormat="false" ht="15" hidden="false" customHeight="false" outlineLevel="0" collapsed="false">
      <c r="A47" s="5"/>
      <c r="B47" s="5" t="s">
        <v>85</v>
      </c>
      <c r="C47" s="5"/>
      <c r="D47" s="12" t="n">
        <f aca="false">SUMIF($C$33:$C$41,$B47,D$33:D$41)</f>
        <v>0</v>
      </c>
      <c r="E47" s="12" t="n">
        <f aca="false">SUMIF($C$33:$C$41,$B47,E$33:E$41)</f>
        <v>0</v>
      </c>
      <c r="F47" s="12" t="n">
        <f aca="false">SUMIF($C$33:$C$41,$B47,F$33:F$41)</f>
        <v>17793.75</v>
      </c>
      <c r="G47" s="12" t="n">
        <f aca="false">SUMIF($C$33:$C$41,$B47,G$33:G$41)</f>
        <v>17793.75</v>
      </c>
      <c r="H47" s="12" t="n">
        <f aca="false">SUMIF($C$33:$C$41,$B47,H$33:H$41)</f>
        <v>17793.75</v>
      </c>
      <c r="I47" s="12" t="n">
        <f aca="false">SUMIF($C$33:$C$41,$B47,I$33:I$41)</f>
        <v>113051.817456</v>
      </c>
      <c r="J47" s="12" t="n">
        <f aca="false">SUMIF($C$33:$C$41,$B47,J$33:J$41)</f>
        <v>127327.558128</v>
      </c>
      <c r="K47" s="12" t="n">
        <f aca="false">SUMIF($C$33:$C$41,$B47,K$33:K$41)</f>
        <v>117754.866672</v>
      </c>
      <c r="L47" s="12" t="n">
        <f aca="false">SUMIF($C$33:$C$41,$B47,L$33:L$41)</f>
        <v>121163.61624</v>
      </c>
      <c r="M47" s="12" t="n">
        <f aca="false">SUMIF($C$33:$C$41,$B47,M$33:M$41)</f>
        <v>106375.281648</v>
      </c>
      <c r="N47" s="12" t="n">
        <f aca="false">SUMIF($C$33:$C$41,$B47,N$33:N$41)</f>
        <v>107631.136752</v>
      </c>
      <c r="O47" s="12" t="n">
        <f aca="false">SUMIF($C$33:$C$41,$B47,O$33:O$41)</f>
        <v>124918.366704</v>
      </c>
      <c r="P47" s="12" t="n">
        <f aca="false">SUMIF($C$33:$C$41,$B47,P$33:P$41)</f>
        <v>871603.8936</v>
      </c>
    </row>
    <row r="48" customFormat="false" ht="15" hidden="false" customHeight="false" outlineLevel="0" collapsed="false">
      <c r="A48" s="5"/>
      <c r="B48" s="5" t="s">
        <v>92</v>
      </c>
      <c r="C48" s="5"/>
      <c r="D48" s="12" t="n">
        <f aca="false">SUMIF($C$33:$C$41,$B48,D$33:D$41)</f>
        <v>0</v>
      </c>
      <c r="E48" s="12" t="n">
        <f aca="false">SUMIF($C$33:$C$41,$B48,E$33:E$41)</f>
        <v>0</v>
      </c>
      <c r="F48" s="12" t="n">
        <f aca="false">SUMIF($C$33:$C$41,$B48,F$33:F$41)</f>
        <v>0</v>
      </c>
      <c r="G48" s="12" t="n">
        <f aca="false">SUMIF($C$33:$C$41,$B48,G$33:G$41)</f>
        <v>0</v>
      </c>
      <c r="H48" s="12" t="n">
        <f aca="false">SUMIF($C$33:$C$41,$B48,H$33:H$41)</f>
        <v>0</v>
      </c>
      <c r="I48" s="12" t="n">
        <f aca="false">SUMIF($C$33:$C$41,$B48,I$33:I$41)</f>
        <v>0</v>
      </c>
      <c r="J48" s="12" t="n">
        <f aca="false">SUMIF($C$33:$C$41,$B48,J$33:J$41)</f>
        <v>261144</v>
      </c>
      <c r="K48" s="12" t="n">
        <f aca="false">SUMIF($C$33:$C$41,$B48,K$33:K$41)</f>
        <v>72184.32</v>
      </c>
      <c r="L48" s="12" t="n">
        <f aca="false">SUMIF($C$33:$C$41,$B48,L$33:L$41)</f>
        <v>96657.12</v>
      </c>
      <c r="M48" s="12" t="n">
        <f aca="false">SUMIF($C$33:$C$41,$B48,M$33:M$41)</f>
        <v>20272.32</v>
      </c>
      <c r="N48" s="12" t="n">
        <f aca="false">SUMIF($C$33:$C$41,$B48,N$33:N$41)</f>
        <v>38070.72</v>
      </c>
      <c r="O48" s="12" t="n">
        <f aca="false">SUMIF($C$33:$C$41,$B48,O$33:O$41)</f>
        <v>119350.08</v>
      </c>
      <c r="P48" s="12" t="n">
        <f aca="false">SUMIF($C$33:$C$41,$B48,P$33:P$41)</f>
        <v>607678.56</v>
      </c>
    </row>
    <row r="49" customFormat="false" ht="15" hidden="false" customHeight="false" outlineLevel="0" collapsed="false">
      <c r="A49" s="5"/>
      <c r="B49" s="5" t="s">
        <v>96</v>
      </c>
      <c r="C49" s="5"/>
      <c r="D49" s="12" t="n">
        <f aca="false">SUMIF($C$33:$C$41,$B49,D$33:D$41)</f>
        <v>0</v>
      </c>
      <c r="E49" s="12" t="n">
        <f aca="false">SUMIF($C$33:$C$41,$B49,E$33:E$41)</f>
        <v>0</v>
      </c>
      <c r="F49" s="12" t="n">
        <f aca="false">SUMIF($C$33:$C$41,$B49,F$33:F$41)</f>
        <v>0</v>
      </c>
      <c r="G49" s="12" t="n">
        <f aca="false">SUMIF($C$33:$C$41,$B49,G$33:G$41)</f>
        <v>0</v>
      </c>
      <c r="H49" s="12" t="n">
        <f aca="false">SUMIF($C$33:$C$41,$B49,H$33:H$41)</f>
        <v>0</v>
      </c>
      <c r="I49" s="12" t="n">
        <f aca="false">SUMIF($C$33:$C$41,$B49,I$33:I$41)</f>
        <v>0</v>
      </c>
      <c r="J49" s="12" t="n">
        <f aca="false">SUMIF($C$33:$C$41,$B49,J$33:J$41)</f>
        <v>0</v>
      </c>
      <c r="K49" s="12" t="n">
        <f aca="false">SUMIF($C$33:$C$41,$B49,K$33:K$41)</f>
        <v>600</v>
      </c>
      <c r="L49" s="12" t="n">
        <f aca="false">SUMIF($C$33:$C$41,$B49,L$33:L$41)</f>
        <v>600</v>
      </c>
      <c r="M49" s="12" t="n">
        <f aca="false">SUMIF($C$33:$C$41,$B49,M$33:M$41)</f>
        <v>600</v>
      </c>
      <c r="N49" s="12" t="n">
        <f aca="false">SUMIF($C$33:$C$41,$B49,N$33:N$41)</f>
        <v>600</v>
      </c>
      <c r="O49" s="12" t="n">
        <f aca="false">SUMIF($C$33:$C$41,$B49,O$33:O$41)</f>
        <v>600</v>
      </c>
      <c r="P49" s="12" t="n">
        <f aca="false">SUMIF($C$33:$C$41,$B49,P$33:P$41)</f>
        <v>3000</v>
      </c>
    </row>
    <row r="50" customFormat="false" ht="15" hidden="false" customHeight="false" outlineLevel="0" collapsed="false">
      <c r="A50" s="5"/>
      <c r="B50" s="5" t="s">
        <v>100</v>
      </c>
      <c r="C50" s="5"/>
      <c r="D50" s="12" t="n">
        <f aca="false">SUMIF($C$33:$C$41,$B50,D$33:D$41)</f>
        <v>13200</v>
      </c>
      <c r="E50" s="12" t="n">
        <f aca="false">SUMIF($C$33:$C$41,$B50,E$33:E$41)</f>
        <v>16170</v>
      </c>
      <c r="F50" s="12" t="n">
        <f aca="false">SUMIF($C$33:$C$41,$B50,F$33:F$41)</f>
        <v>19250</v>
      </c>
      <c r="G50" s="12" t="n">
        <f aca="false">SUMIF($C$33:$C$41,$B50,G$33:G$41)</f>
        <v>22220</v>
      </c>
      <c r="H50" s="12" t="n">
        <f aca="false">SUMIF($C$33:$C$41,$B50,H$33:H$41)</f>
        <v>25190</v>
      </c>
      <c r="I50" s="12" t="n">
        <f aca="false">SUMIF($C$33:$C$41,$B50,I$33:I$41)</f>
        <v>28160</v>
      </c>
      <c r="J50" s="12" t="n">
        <f aca="false">SUMIF($C$33:$C$41,$B50,J$33:J$41)</f>
        <v>31240</v>
      </c>
      <c r="K50" s="12" t="n">
        <f aca="false">SUMIF($C$33:$C$41,$B50,K$33:K$41)</f>
        <v>34210</v>
      </c>
      <c r="L50" s="12" t="n">
        <f aca="false">SUMIF($C$33:$C$41,$B50,L$33:L$41)</f>
        <v>37180</v>
      </c>
      <c r="M50" s="12" t="n">
        <f aca="false">SUMIF($C$33:$C$41,$B50,M$33:M$41)</f>
        <v>40150</v>
      </c>
      <c r="N50" s="12" t="n">
        <f aca="false">SUMIF($C$33:$C$41,$B50,N$33:N$41)</f>
        <v>43230</v>
      </c>
      <c r="O50" s="12" t="n">
        <f aca="false">SUMIF($C$33:$C$41,$B50,O$33:O$41)</f>
        <v>46200</v>
      </c>
      <c r="P50" s="12" t="n">
        <f aca="false">SUMIF($C$33:$C$41,$B50,P$33:P$41)</f>
        <v>356400</v>
      </c>
    </row>
    <row r="51" customFormat="false" ht="15" hidden="false" customHeight="false" outlineLevel="0" collapsed="false">
      <c r="A51" s="5"/>
      <c r="B51" s="5" t="s">
        <v>104</v>
      </c>
      <c r="C51" s="5"/>
      <c r="D51" s="12" t="n">
        <f aca="false">SUMIF($C$33:$C$41,$B51,D$33:D$41)</f>
        <v>130000</v>
      </c>
      <c r="E51" s="12" t="n">
        <f aca="false">SUMIF($C$33:$C$41,$B51,E$33:E$41)</f>
        <v>130000</v>
      </c>
      <c r="F51" s="12" t="n">
        <f aca="false">SUMIF($C$33:$C$41,$B51,F$33:F$41)</f>
        <v>130000</v>
      </c>
      <c r="G51" s="12" t="n">
        <f aca="false">SUMIF($C$33:$C$41,$B51,G$33:G$41)</f>
        <v>130000</v>
      </c>
      <c r="H51" s="12" t="n">
        <f aca="false">SUMIF($C$33:$C$41,$B51,H$33:H$41)</f>
        <v>130000</v>
      </c>
      <c r="I51" s="12" t="n">
        <f aca="false">SUMIF($C$33:$C$41,$B51,I$33:I$41)</f>
        <v>130000</v>
      </c>
      <c r="J51" s="12" t="n">
        <f aca="false">SUMIF($C$33:$C$41,$B51,J$33:J$41)</f>
        <v>130000</v>
      </c>
      <c r="K51" s="12" t="n">
        <f aca="false">SUMIF($C$33:$C$41,$B51,K$33:K$41)</f>
        <v>130000</v>
      </c>
      <c r="L51" s="12" t="n">
        <f aca="false">SUMIF($C$33:$C$41,$B51,L$33:L$41)</f>
        <v>130000</v>
      </c>
      <c r="M51" s="12" t="n">
        <f aca="false">SUMIF($C$33:$C$41,$B51,M$33:M$41)</f>
        <v>130000</v>
      </c>
      <c r="N51" s="12" t="n">
        <f aca="false">SUMIF($C$33:$C$41,$B51,N$33:N$41)</f>
        <v>130000</v>
      </c>
      <c r="O51" s="12" t="n">
        <f aca="false">SUMIF($C$33:$C$41,$B51,O$33:O$41)</f>
        <v>130000</v>
      </c>
      <c r="P51" s="12" t="n">
        <f aca="false">SUMIF($C$33:$C$41,$B51,P$33:P$41)</f>
        <v>1560000</v>
      </c>
    </row>
    <row r="52" customFormat="false" ht="15" hidden="false" customHeight="false" outlineLevel="0" collapsed="false">
      <c r="A52" s="5"/>
      <c r="B52" s="5" t="s">
        <v>111</v>
      </c>
      <c r="C52" s="5"/>
      <c r="D52" s="12" t="n">
        <f aca="false">SUMIF($C$33:$C$41,$B52,D$33:D$41)</f>
        <v>0</v>
      </c>
      <c r="E52" s="12" t="n">
        <f aca="false">SUMIF($C$33:$C$41,$B52,E$33:E$41)</f>
        <v>0</v>
      </c>
      <c r="F52" s="12" t="n">
        <f aca="false">SUMIF($C$33:$C$41,$B52,F$33:F$41)</f>
        <v>0</v>
      </c>
      <c r="G52" s="12" t="n">
        <f aca="false">SUMIF($C$33:$C$41,$B52,G$33:G$41)</f>
        <v>0</v>
      </c>
      <c r="H52" s="12" t="n">
        <f aca="false">SUMIF($C$33:$C$41,$B52,H$33:H$41)</f>
        <v>0</v>
      </c>
      <c r="I52" s="12" t="n">
        <f aca="false">SUMIF($C$33:$C$41,$B52,I$33:I$41)</f>
        <v>0</v>
      </c>
      <c r="J52" s="12" t="n">
        <f aca="false">SUMIF($C$33:$C$41,$B52,J$33:J$41)</f>
        <v>0</v>
      </c>
      <c r="K52" s="12" t="n">
        <f aca="false">SUMIF($C$33:$C$41,$B52,K$33:K$41)</f>
        <v>0</v>
      </c>
      <c r="L52" s="12" t="n">
        <f aca="false">SUMIF($C$33:$C$41,$B52,L$33:L$41)</f>
        <v>13356</v>
      </c>
      <c r="M52" s="12" t="n">
        <f aca="false">SUMIF($C$33:$C$41,$B52,M$33:M$41)</f>
        <v>13356</v>
      </c>
      <c r="N52" s="12" t="n">
        <f aca="false">SUMIF($C$33:$C$41,$B52,N$33:N$41)</f>
        <v>13356</v>
      </c>
      <c r="O52" s="12" t="n">
        <f aca="false">SUMIF($C$33:$C$41,$B52,O$33:O$41)</f>
        <v>13356</v>
      </c>
      <c r="P52" s="12" t="n">
        <f aca="false">SUMIF($C$33:$C$41,$B52,P$33:P$41)</f>
        <v>53424</v>
      </c>
    </row>
    <row r="53" customFormat="false" ht="15" hidden="false" customHeight="false" outlineLevel="0" collapsed="false">
      <c r="A53" s="5"/>
      <c r="B53" s="5" t="s">
        <v>115</v>
      </c>
      <c r="C53" s="5"/>
      <c r="D53" s="12" t="n">
        <f aca="false">SUMIF($C$33:$C$41,$B53,D$33:D$41)</f>
        <v>0</v>
      </c>
      <c r="E53" s="12" t="n">
        <f aca="false">SUMIF($C$33:$C$41,$B53,E$33:E$41)</f>
        <v>0</v>
      </c>
      <c r="F53" s="12" t="n">
        <f aca="false">SUMIF($C$33:$C$41,$B53,F$33:F$41)</f>
        <v>0</v>
      </c>
      <c r="G53" s="12" t="n">
        <f aca="false">SUMIF($C$33:$C$41,$B53,G$33:G$41)</f>
        <v>0</v>
      </c>
      <c r="H53" s="12" t="n">
        <f aca="false">SUMIF($C$33:$C$41,$B53,H$33:H$41)</f>
        <v>0</v>
      </c>
      <c r="I53" s="12" t="n">
        <f aca="false">SUMIF($C$33:$C$41,$B53,I$33:I$41)</f>
        <v>0</v>
      </c>
      <c r="J53" s="12" t="n">
        <f aca="false">SUMIF($C$33:$C$41,$B53,J$33:J$41)</f>
        <v>0</v>
      </c>
      <c r="K53" s="12" t="n">
        <f aca="false">SUMIF($C$33:$C$41,$B53,K$33:K$41)</f>
        <v>85000</v>
      </c>
      <c r="L53" s="12" t="n">
        <f aca="false">SUMIF($C$33:$C$41,$B53,L$33:L$41)</f>
        <v>85000</v>
      </c>
      <c r="M53" s="12" t="n">
        <f aca="false">SUMIF($C$33:$C$41,$B53,M$33:M$41)</f>
        <v>85000</v>
      </c>
      <c r="N53" s="12" t="n">
        <f aca="false">SUMIF($C$33:$C$41,$B53,N$33:N$41)</f>
        <v>85000</v>
      </c>
      <c r="O53" s="12" t="n">
        <f aca="false">SUMIF($C$33:$C$41,$B53,O$33:O$41)</f>
        <v>85000</v>
      </c>
      <c r="P53" s="12" t="n">
        <f aca="false">SUMIF($C$33:$C$41,$B53,P$33:P$41)</f>
        <v>425000</v>
      </c>
    </row>
    <row r="54" customFormat="false" ht="15" hidden="false" customHeight="false" outlineLevel="0" collapsed="false">
      <c r="B54" s="20" t="s">
        <v>121</v>
      </c>
      <c r="D54" s="19" t="n">
        <f aca="false">SUM(D47:D53)</f>
        <v>143200</v>
      </c>
      <c r="E54" s="19" t="n">
        <f aca="false">SUM(E47:E53)</f>
        <v>146170</v>
      </c>
      <c r="F54" s="19" t="n">
        <f aca="false">SUM(F47:F53)</f>
        <v>167043.75</v>
      </c>
      <c r="G54" s="19" t="n">
        <f aca="false">SUM(G47:G53)</f>
        <v>170013.75</v>
      </c>
      <c r="H54" s="19" t="n">
        <f aca="false">SUM(H47:H53)</f>
        <v>172983.75</v>
      </c>
      <c r="I54" s="19" t="n">
        <f aca="false">SUM(I47:I53)</f>
        <v>271211.817456</v>
      </c>
      <c r="J54" s="19" t="n">
        <f aca="false">SUM(J47:J53)</f>
        <v>549711.558128</v>
      </c>
      <c r="K54" s="19" t="n">
        <f aca="false">SUM(K47:K53)</f>
        <v>439749.186672</v>
      </c>
      <c r="L54" s="19" t="n">
        <f aca="false">SUM(L47:L53)</f>
        <v>483956.73624</v>
      </c>
      <c r="M54" s="19" t="n">
        <f aca="false">SUM(M47:M53)</f>
        <v>395753.601648</v>
      </c>
      <c r="N54" s="19" t="n">
        <f aca="false">SUM(N47:N53)</f>
        <v>417887.856752</v>
      </c>
      <c r="O54" s="19" t="n">
        <f aca="false">SUM(O47:O53)</f>
        <v>519424.446704</v>
      </c>
      <c r="P54" s="19" t="n">
        <f aca="false">SUM(P47:P53)</f>
        <v>3877106.4536</v>
      </c>
    </row>
    <row r="55" customFormat="false" ht="15" hidden="false" customHeight="false" outlineLevel="0" collapsed="false">
      <c r="B55" s="5" t="s">
        <v>126</v>
      </c>
      <c r="D55" s="12" t="n">
        <f aca="false">D54-D42</f>
        <v>0</v>
      </c>
      <c r="E55" s="12" t="n">
        <f aca="false">E54-E42</f>
        <v>0</v>
      </c>
      <c r="F55" s="12" t="n">
        <f aca="false">F54-F42</f>
        <v>0</v>
      </c>
      <c r="G55" s="12" t="n">
        <f aca="false">G54-G42</f>
        <v>0</v>
      </c>
      <c r="H55" s="12" t="n">
        <f aca="false">H54-H42</f>
        <v>0</v>
      </c>
      <c r="I55" s="12" t="n">
        <f aca="false">I54-I42</f>
        <v>0</v>
      </c>
      <c r="J55" s="12" t="n">
        <f aca="false">J54-J42</f>
        <v>0</v>
      </c>
      <c r="K55" s="12" t="n">
        <f aca="false">K54-K42</f>
        <v>0</v>
      </c>
      <c r="L55" s="12" t="n">
        <f aca="false">L54-L42</f>
        <v>0</v>
      </c>
      <c r="M55" s="12" t="n">
        <f aca="false">M54-M42</f>
        <v>0</v>
      </c>
      <c r="N55" s="12" t="n">
        <f aca="false">N54-N42</f>
        <v>0</v>
      </c>
      <c r="O55" s="12" t="n">
        <f aca="false">O54-O42</f>
        <v>0</v>
      </c>
      <c r="P55" s="12" t="n">
        <f aca="false">P54-P42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2026-10-07T18:04:12Z</dcterms:created>
  <dc:creator>openpyxl</dc:creator>
  <dc:description/>
  <dc:language>en-US</dc:language>
  <cp:lastModifiedBy/>
  <dcterms:modified xsi:type="dcterms:W3CDTF">2026-10-07T15:04:15Z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