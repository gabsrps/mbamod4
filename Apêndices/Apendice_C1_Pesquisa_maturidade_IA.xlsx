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Escala" sheetId="2" state="visible" r:id="rId4"/>
    <sheet name="Questionário" sheetId="3" state="visible" r:id="rId5"/>
    <sheet name="Participação" sheetId="4" state="visible" r:id="rId6"/>
    <sheet name="Respostas" sheetId="5" state="visible" r:id="rId7"/>
    <sheet name="Autoavaliação" sheetId="6" state="visible" r:id="rId8"/>
    <sheet name="Organização da IA" sheetId="7" state="visible" r:id="rId9"/>
    <sheet name="Ferramentas externas" sheetId="8" state="visible" r:id="rId10"/>
    <sheet name="Comentários" sheetId="9" state="visible" r:id="rId11"/>
    <sheet name="Gráfico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<sst xmlns="http://schemas.openxmlformats.org/spreadsheetml/2006/main" count="389" uniqueCount="210">
  <si>
    <t xml:space="preserve">Apêndice C1 — Pesquisa de maturidade de IA por unidade</t>
  </si>
  <si>
    <t xml:space="preserve">Grupo Meridiano · Pesquisa aplicada de 08 a 25/09/2026 · consolidada em 30/09/2026</t>
  </si>
  <si>
    <t xml:space="preserve">O que é</t>
  </si>
  <si>
    <t xml:space="preserve">Pesquisa interna de autoavaliação da maturidade em IA das cinco unidades do grupo, conduzida pela área de Planejamento Estratégico a pedido do conselho, como insumo para o novo Head de IA. O questionário foi enviado às lideranças (diretores e gerentes) e às equipes que trabalham com dados, tecnologia e processos de cada unidade. As respostas são anônimas e não foram auditadas: representam a percepção de quem respondeu.</t>
  </si>
  <si>
    <t xml:space="preserve">Referencial</t>
  </si>
  <si>
    <t xml:space="preserve">O questionário foi elaborado com base no AI Maturity Framework publicado pela Element AI em 2020, que organiza a maturidade organizacional em IA em cinco dimensões (estratégia, dados, tecnologia, pessoas e governança) e cinco estágios (exploração, experimentação, formalização, otimização e transformação). As 20 afirmações e as descrições de cada estágio foram adaptadas pela empresa à sua realidade.</t>
  </si>
  <si>
    <t xml:space="preserve">Como foi respondido</t>
  </si>
  <si>
    <t xml:space="preserve">Para cada afirmação, o respondente escolheu o estágio (1 a 5) que melhor descreve a situação atual da sua própria unidade, com base nas descrições da aba Escala. Cada unidade avaliou apenas a si mesma.</t>
  </si>
  <si>
    <t xml:space="preserve">Ao final, havia três perguntas complementares: como as iniciativas de IA deveriam ser organizadas no grupo, uso de ferramentas de IA não fornecidas pela empresa e um campo aberto para comentários.</t>
  </si>
  <si>
    <t xml:space="preserve">Abas</t>
  </si>
  <si>
    <t xml:space="preserve">Escala: descrição dos cinco estágios em cada dimensão e faixas usadas para classificar as médias.</t>
  </si>
  <si>
    <t xml:space="preserve">Questionário: as 20 afirmações, quatro por dimensão.</t>
  </si>
  <si>
    <t xml:space="preserve">Participação: convidados, respondentes e taxa de resposta por unidade e grupo.</t>
  </si>
  <si>
    <t xml:space="preserve">Respostas: média das notas de cada afirmação, por unidade e grupo de respondentes (liderança e equipes).</t>
  </si>
  <si>
    <t xml:space="preserve">Autoavaliação: médias por dimensão, diferença entre liderança e equipes e estágio correspondente às médias, segundo a percepção dos respondentes.</t>
  </si>
  <si>
    <t xml:space="preserve">Organização da IA: preferência dos respondentes sobre como organizar as iniciativas de IA no grupo.</t>
  </si>
  <si>
    <t xml:space="preserve">Ferramentas externas: uso de ferramentas de IA não fornecidas pela empresa.</t>
  </si>
  <si>
    <t xml:space="preserve">Comentários: seleção de respostas abertas das equipes, identificadas apenas por unidade e cargo.</t>
  </si>
  <si>
    <t xml:space="preserve">Gráficos: perfil de maturidade por unidade e diferença de percepção entre liderança e equipes.</t>
  </si>
  <si>
    <t xml:space="preserve">Definições</t>
  </si>
  <si>
    <t xml:space="preserve">Média da dimensão: média simples das quatro afirmações da dimensão, calculada para cada grupo de respondentes.</t>
  </si>
  <si>
    <t xml:space="preserve">Diferença de percepção: média da liderança menos média das equipes. Valores positivos indicam que a liderança avalia a unidade melhor do que as equipes.</t>
  </si>
  <si>
    <t xml:space="preserve">Média das duas visões: média simples entre a liderança e as equipes, para que o grupo com mais respondentes não domine o resultado.</t>
  </si>
  <si>
    <t xml:space="preserve">Estágio segundo a autoavaliação: classificação da média das duas visões, arredondada a uma casa decimal, pelas faixas da aba Escala (por exemplo, de 2,0 a 2,9 = Experimentação). Indica como a unidade se percebe, não um diagnóstico.</t>
  </si>
  <si>
    <t xml:space="preserve">Convenções</t>
  </si>
  <si>
    <t xml:space="preserve">Azul: valores apurados na pesquisa. Preto: fórmulas. Alterar uma resposta recalcula a autoavaliação e os gráficos.</t>
  </si>
  <si>
    <t xml:space="preserve">Nomes de fornecedores, quando citados nos comentários, foram substituídos por letras (Nuvem A, Provedor X etc.), como nos demais apêndices.</t>
  </si>
  <si>
    <t xml:space="preserve">Fonte</t>
  </si>
  <si>
    <t xml:space="preserve">Referencial: Element AI, AI Maturity Framework (2020), dimensões e estágios conforme divulgação pública do framework. Respostas: pesquisa interna, set/2026.</t>
  </si>
  <si>
    <t xml:space="preserve">Escala de maturidade — descrição dos estágios por dimensão</t>
  </si>
  <si>
    <t xml:space="preserve">Dimensão</t>
  </si>
  <si>
    <t xml:space="preserve">1. Exploração</t>
  </si>
  <si>
    <t xml:space="preserve">2. Experimentação</t>
  </si>
  <si>
    <t xml:space="preserve">3. Formalização</t>
  </si>
  <si>
    <t xml:space="preserve">4. Otimização</t>
  </si>
  <si>
    <t xml:space="preserve">5. Transformação</t>
  </si>
  <si>
    <t xml:space="preserve">Estratégia</t>
  </si>
  <si>
    <t xml:space="preserve">IA é tema de interesse, sem objetivos nem patrocínio definidos.</t>
  </si>
  <si>
    <t xml:space="preserve">Iniciativas pontuais, puxadas por pessoas ou áreas, sem critério comum de priorização.</t>
  </si>
  <si>
    <t xml:space="preserve">Há objetivos de IA ligados às metas da unidade, orçamento e patrocinador identificados.</t>
  </si>
  <si>
    <t xml:space="preserve">Portfólio de IA gerido por valor, com metas de negócio acompanhadas e revisão periódica.</t>
  </si>
  <si>
    <t xml:space="preserve">IA orienta a estratégia e os modelos de negócio da unidade.</t>
  </si>
  <si>
    <t xml:space="preserve">Dados</t>
  </si>
  <si>
    <t xml:space="preserve">Dados dispersos, de difícil acesso e qualidade desconhecida.</t>
  </si>
  <si>
    <t xml:space="preserve">Dados reunidos projeto a projeto, com tratamento manual.</t>
  </si>
  <si>
    <t xml:space="preserve">Principais dados acessíveis, com responsáveis e definições documentadas.</t>
  </si>
  <si>
    <t xml:space="preserve">Qualidade medida continuamente; dados compartilhados entre áreas por padrões comuns.</t>
  </si>
  <si>
    <t xml:space="preserve">Dados tratados como ativo do negócio, reutilizados em escala em toda a empresa.</t>
  </si>
  <si>
    <t xml:space="preserve">Tecnologia</t>
  </si>
  <si>
    <t xml:space="preserve">Sem ferramentas ou ambientes próprios para IA.</t>
  </si>
  <si>
    <t xml:space="preserve">Ferramentas escolhidas por projeto; implantação manual e caso a caso.</t>
  </si>
  <si>
    <t xml:space="preserve">Ambientes e práticas padronizados para levar soluções à produção.</t>
  </si>
  <si>
    <t xml:space="preserve">Plataforma comum com implantação, monitoramento e controle de custos automatizados.</t>
  </si>
  <si>
    <t xml:space="preserve">Plataforma permite criar e escalar novas soluções de IA rapidamente e com segurança.</t>
  </si>
  <si>
    <t xml:space="preserve">Pessoas</t>
  </si>
  <si>
    <t xml:space="preserve">Conhecimento de IA restrito a poucos interessados.</t>
  </si>
  <si>
    <t xml:space="preserve">Pequenos grupos técnicos ou fornecedores concentram o conhecimento.</t>
  </si>
  <si>
    <t xml:space="preserve">Papéis técnicos definidos; áreas de negócio participam das iniciativas.</t>
  </si>
  <si>
    <t xml:space="preserve">Capacitação contínua; negócio e tecnologia trabalham em times integrados.</t>
  </si>
  <si>
    <t xml:space="preserve">Cultura de uso de IA difundida em toda a unidade.</t>
  </si>
  <si>
    <t xml:space="preserve">Governança</t>
  </si>
  <si>
    <t xml:space="preserve">Sem regras sobre o uso de IA.</t>
  </si>
  <si>
    <t xml:space="preserve">Regras informais, aplicadas caso a caso por cada time.</t>
  </si>
  <si>
    <t xml:space="preserve">Políticas e responsáveis definidos; riscos avaliados antes da entrada em produção.</t>
  </si>
  <si>
    <t xml:space="preserve">Controles aplicados de forma contínua (monitoramento, auditoria, revisão humana, registro).</t>
  </si>
  <si>
    <t xml:space="preserve">Governança integrada ao ciclo de vida de todas as soluções e revisada periodicamente.</t>
  </si>
  <si>
    <t xml:space="preserve">Faixas de classificação das médias</t>
  </si>
  <si>
    <t xml:space="preserve">A partir de</t>
  </si>
  <si>
    <t xml:space="preserve">Estágio</t>
  </si>
  <si>
    <t xml:space="preserve">Exploração</t>
  </si>
  <si>
    <t xml:space="preserve">Experimentação</t>
  </si>
  <si>
    <t xml:space="preserve">Formalização</t>
  </si>
  <si>
    <t xml:space="preserve">Otimização</t>
  </si>
  <si>
    <t xml:space="preserve">Transformação</t>
  </si>
  <si>
    <t xml:space="preserve">Exemplo: média de 2,6 = Experimentação; média de 3,0 = Formalização.</t>
  </si>
  <si>
    <t xml:space="preserve">Questionário — afirmações avaliadas (escala de 1 a 5, conforme aba Escala)</t>
  </si>
  <si>
    <t xml:space="preserve">ID</t>
  </si>
  <si>
    <t xml:space="preserve">Afirmação</t>
  </si>
  <si>
    <t xml:space="preserve">E1</t>
  </si>
  <si>
    <t xml:space="preserve">Existe uma visão clara de como a IA contribui para os objetivos da unidade.</t>
  </si>
  <si>
    <t xml:space="preserve">E2</t>
  </si>
  <si>
    <t xml:space="preserve">As iniciativas de IA são priorizadas com critérios explícitos de valor de negócio.</t>
  </si>
  <si>
    <t xml:space="preserve">E3</t>
  </si>
  <si>
    <t xml:space="preserve">Há orçamento e patrocínio definidos para IA além do ciclo de cada projeto.</t>
  </si>
  <si>
    <t xml:space="preserve">E4</t>
  </si>
  <si>
    <t xml:space="preserve">Os resultados das iniciativas de IA são medidos contra metas de negócio.</t>
  </si>
  <si>
    <t xml:space="preserve">D1</t>
  </si>
  <si>
    <t xml:space="preserve">Os dados necessários às iniciativas de IA estão disponíveis e acessíveis.</t>
  </si>
  <si>
    <t xml:space="preserve">D2</t>
  </si>
  <si>
    <t xml:space="preserve">A qualidade dos dados é medida e há responsáveis por corrigi-la.</t>
  </si>
  <si>
    <t xml:space="preserve">D3</t>
  </si>
  <si>
    <t xml:space="preserve">Os principais dados têm definições comuns documentadas (dono, origem, significado).</t>
  </si>
  <si>
    <t xml:space="preserve">D4</t>
  </si>
  <si>
    <t xml:space="preserve">Os dados podem ser compartilhados com outras unidades de forma ágil e segura.</t>
  </si>
  <si>
    <t xml:space="preserve">T1</t>
  </si>
  <si>
    <t xml:space="preserve">A unidade tem ferramentas e infraestrutura adequadas para construir soluções de IA.</t>
  </si>
  <si>
    <t xml:space="preserve">T2</t>
  </si>
  <si>
    <t xml:space="preserve">Soluções de IA passam do piloto à produção de forma padronizada (implantação, testes, versionamento).</t>
  </si>
  <si>
    <t xml:space="preserve">T3</t>
  </si>
  <si>
    <t xml:space="preserve">Modelos e agentes em produção são monitorados (desempenho, qualidade das respostas, custo).</t>
  </si>
  <si>
    <t xml:space="preserve">T4</t>
  </si>
  <si>
    <t xml:space="preserve">As soluções de IA se integram aos sistemas centrais com segurança (acessos, credenciais, ambientes).</t>
  </si>
  <si>
    <t xml:space="preserve">P1</t>
  </si>
  <si>
    <t xml:space="preserve">A unidade tem pessoas com competências técnicas para desenvolver e manter soluções de IA.</t>
  </si>
  <si>
    <t xml:space="preserve">P2</t>
  </si>
  <si>
    <t xml:space="preserve">As áreas de negócio sabem identificar oportunidades e usar soluções de IA no dia a dia.</t>
  </si>
  <si>
    <t xml:space="preserve">P3</t>
  </si>
  <si>
    <t xml:space="preserve">Há programas de capacitação em IA acessíveis aos colaboradores.</t>
  </si>
  <si>
    <t xml:space="preserve">P4</t>
  </si>
  <si>
    <t xml:space="preserve">O conhecimento sobre as soluções de IA não depende de uma única pessoa ou fornecedor.</t>
  </si>
  <si>
    <t xml:space="preserve">G1</t>
  </si>
  <si>
    <t xml:space="preserve">Há políticas que definem usos permitidos e proibidos de IA, conhecidas pelos colaboradores.</t>
  </si>
  <si>
    <t xml:space="preserve">G2</t>
  </si>
  <si>
    <t xml:space="preserve">Riscos (privacidade, viés, segurança, erros) são avaliados antes de uma solução entrar em produção.</t>
  </si>
  <si>
    <t xml:space="preserve">G3</t>
  </si>
  <si>
    <t xml:space="preserve">Há papéis definidos para aprovar, supervisionar e responder por cada solução de IA.</t>
  </si>
  <si>
    <t xml:space="preserve">G4</t>
  </si>
  <si>
    <t xml:space="preserve">Decisões automatizadas têm revisão humana, registro e canal de contestação quando necessário.</t>
  </si>
  <si>
    <t xml:space="preserve">Perguntas complementares</t>
  </si>
  <si>
    <t xml:space="preserve">C1 · Como as iniciativas de IA deveriam ser organizadas no grupo? (uma opção; ver aba Organização da IA)</t>
  </si>
  <si>
    <t xml:space="preserve">C2 · Com que frequência você usa, no trabalho, ferramentas de IA não fornecidas pela empresa? (frequentemente, às vezes, nunca)</t>
  </si>
  <si>
    <t xml:space="preserve">C3 · Se usa, já inseriu nessas ferramentas dados de clientes ou de colaboradores? (sim, não)</t>
  </si>
  <si>
    <t xml:space="preserve">C4 · Comentários livres sobre IA na sua unidade (opcional).</t>
  </si>
  <si>
    <t xml:space="preserve">Participação na pesquisa</t>
  </si>
  <si>
    <t xml:space="preserve">Liderança: diretores e gerentes. Equipes: coordenadores, especialistas e analistas que trabalham com dados, tecnologia e processos.</t>
  </si>
  <si>
    <t xml:space="preserve">Unidade</t>
  </si>
  <si>
    <t xml:space="preserve">Liderança — convidados</t>
  </si>
  <si>
    <t xml:space="preserve">Liderança — respondentes</t>
  </si>
  <si>
    <t xml:space="preserve">Liderança — taxa de resposta</t>
  </si>
  <si>
    <t xml:space="preserve">Equipes — convidados</t>
  </si>
  <si>
    <t xml:space="preserve">Equipes — respondentes</t>
  </si>
  <si>
    <t xml:space="preserve">Equipes — taxa de resposta</t>
  </si>
  <si>
    <t xml:space="preserve">Total de respondentes</t>
  </si>
  <si>
    <t xml:space="preserve">Taxa de resposta total</t>
  </si>
  <si>
    <t xml:space="preserve">Marketplace e e-commerce</t>
  </si>
  <si>
    <t xml:space="preserve">Logística</t>
  </si>
  <si>
    <t xml:space="preserve">Lojas físicas</t>
  </si>
  <si>
    <t xml:space="preserve">Serviços financeiros</t>
  </si>
  <si>
    <t xml:space="preserve">Corporativo</t>
  </si>
  <si>
    <t xml:space="preserve">Total</t>
  </si>
  <si>
    <t xml:space="preserve">Nas Lojas físicas, o convite às equipes incluiu uma amostra de coordenadores de loja, além dos analistas de operações.</t>
  </si>
  <si>
    <t xml:space="preserve">Respostas — média das notas por afirmação (1 a 5)</t>
  </si>
  <si>
    <t xml:space="preserve">Liderança = diretores e gerentes; Equipes = demais respondentes. Cada unidade avaliou a si mesma.</t>
  </si>
  <si>
    <t xml:space="preserve">Liderança</t>
  </si>
  <si>
    <t xml:space="preserve">Equipes</t>
  </si>
  <si>
    <t xml:space="preserve">Respondentes</t>
  </si>
  <si>
    <t xml:space="preserve">Autoavaliação — maturidade percebida por unidade e dimensão</t>
  </si>
  <si>
    <t xml:space="preserve">Médias de 1 a 5. Diferença = liderança − equipes. Resultados da percepção dos respondentes; não substituem um diagnóstico com base em evidências.</t>
  </si>
  <si>
    <t xml:space="preserve">Média da liderança</t>
  </si>
  <si>
    <t xml:space="preserve">Geral</t>
  </si>
  <si>
    <t xml:space="preserve">Média das equipes</t>
  </si>
  <si>
    <t xml:space="preserve">Diferença de percepção (liderança − equipes)</t>
  </si>
  <si>
    <t xml:space="preserve">Média das duas visões (liderança e equipes)</t>
  </si>
  <si>
    <t xml:space="preserve">Estágio segundo a autoavaliação</t>
  </si>
  <si>
    <t xml:space="preserve">Pergunta C1 — Como as iniciativas de IA deveriam ser organizadas no grupo?</t>
  </si>
  <si>
    <t xml:space="preserve">Número de respondentes que escolheu cada opção (uma por respondente).</t>
  </si>
  <si>
    <t xml:space="preserve">A. Uma área corporativa concentra o desenvolvimento e a operação de todas as soluções de IA</t>
  </si>
  <si>
    <t xml:space="preserve">B. Uma área central define padrões, plataforma e regras; as unidades desenvolvem suas próprias soluções</t>
  </si>
  <si>
    <t xml:space="preserve">C. Cada unidade decide e desenvolve suas soluções com autonomia, com coordenação mínima entre elas</t>
  </si>
  <si>
    <t xml:space="preserve">D. Não sei / sem opinião</t>
  </si>
  <si>
    <t xml:space="preserve">Grupo</t>
  </si>
  <si>
    <t xml:space="preserve">A</t>
  </si>
  <si>
    <t xml:space="preserve">B</t>
  </si>
  <si>
    <t xml:space="preserve">C</t>
  </si>
  <si>
    <t xml:space="preserve">D</t>
  </si>
  <si>
    <t xml:space="preserve">% A</t>
  </si>
  <si>
    <t xml:space="preserve">% B</t>
  </si>
  <si>
    <t xml:space="preserve">% C</t>
  </si>
  <si>
    <t xml:space="preserve">% D</t>
  </si>
  <si>
    <t xml:space="preserve">Total do grupo</t>
  </si>
  <si>
    <t xml:space="preserve">Total geral</t>
  </si>
  <si>
    <t xml:space="preserve">Perguntas C2 e C3 — Uso de ferramentas de IA não fornecidas pela empresa</t>
  </si>
  <si>
    <t xml:space="preserve">Todos os respondentes (liderança e equipes). C3 respondida apenas por quem usa essas ferramentas.</t>
  </si>
  <si>
    <t xml:space="preserve">Usa frequentemente</t>
  </si>
  <si>
    <t xml:space="preserve">Usa às vezes</t>
  </si>
  <si>
    <t xml:space="preserve">Nunca usa</t>
  </si>
  <si>
    <t xml:space="preserve">% que usa</t>
  </si>
  <si>
    <t xml:space="preserve">Já inseriu dados de clientes ou colaboradores</t>
  </si>
  <si>
    <t xml:space="preserve">% dos usuários que inseriu dados</t>
  </si>
  <si>
    <t xml:space="preserve">Conferência: o total de respondentes de cada unidade deve coincidir com a aba Participação.</t>
  </si>
  <si>
    <t xml:space="preserve">Respondentes (Participação)</t>
  </si>
  <si>
    <t xml:space="preserve">Confere?</t>
  </si>
  <si>
    <t xml:space="preserve">Pergunta C4 — Seleção de comentários livres das equipes</t>
  </si>
  <si>
    <t xml:space="preserve">Transcritos sem edição de conteúdo. Respondentes identificados apenas por unidade e cargo. A visão das lideranças está nas entrevistas (Apêndice C2).</t>
  </si>
  <si>
    <t xml:space="preserve">#</t>
  </si>
  <si>
    <t xml:space="preserve">Cargo</t>
  </si>
  <si>
    <t xml:space="preserve">Comentário</t>
  </si>
  <si>
    <t xml:space="preserve">Cientista de dados</t>
  </si>
  <si>
    <t xml:space="preserve">Colocamos coisas em produção rápido, mas ninguém mede se as respostas do agente estão certas. O teste antes de lançar foi uma lista de perguntas que nós mesmos escrevemos.</t>
  </si>
  <si>
    <t xml:space="preserve">Engenheiro de dados</t>
  </si>
  <si>
    <t xml:space="preserve">Cada time sobe seus ambientes na Nuvem A para testar e muita coisa fica ligada depois que o teste acaba. Não existe um dono para limpar.</t>
  </si>
  <si>
    <t xml:space="preserve">Analista de CRM</t>
  </si>
  <si>
    <t xml:space="preserve">Não temos certeza de quais clientes antigos autorizaram receber e-mail. A campanha sai para toda a base selecionada pelo modelo.</t>
  </si>
  <si>
    <t xml:space="preserve">Analista de logística</t>
  </si>
  <si>
    <t xml:space="preserve">Só a consultoria sabe mexer no fluxo da plataforma W. Se algo para de funcionar à noite, não temos a quem recorrer.</t>
  </si>
  <si>
    <t xml:space="preserve">Coordenador de CD</t>
  </si>
  <si>
    <t xml:space="preserve">Os dados de rastreamento são bons. O problema é que cada transportadora manda num formato e alguém precisa juntar tudo na mão.</t>
  </si>
  <si>
    <t xml:space="preserve">Coordenador de operações regionais</t>
  </si>
  <si>
    <t xml:space="preserve">As lojas já usam IA por conta própria, porque nada oficial chegou até nós. É melhor ter uma ferramenta aprovada do que fingir que ninguém usa.</t>
  </si>
  <si>
    <t xml:space="preserve">Analista de operações</t>
  </si>
  <si>
    <t xml:space="preserve">Montar a escala em planilha levava um dia por loja; com o app que fizemos, leva minutos. Gerentes de outras regiões já pediram acesso.</t>
  </si>
  <si>
    <t xml:space="preserve">Coordenador de loja</t>
  </si>
  <si>
    <t xml:space="preserve">Nunca recebi orientação sobre o que pode ou não pode ser colocado nessas ferramentas de IA.</t>
  </si>
  <si>
    <t xml:space="preserve">Analista de risco</t>
  </si>
  <si>
    <t xml:space="preserve">O modelo não foi reavaliado desde o lançamento. Quando um seller recusado liga, ninguém consegue explicar o motivo da recusa.</t>
  </si>
  <si>
    <t xml:space="preserve">Analista de controladoria</t>
  </si>
  <si>
    <t xml:space="preserve">Não conseguimos dizer quanto cada iniciativa de IA custa nem quanto retorna. Os gastos estão espalhados em contas de várias áreas.</t>
  </si>
  <si>
    <t xml:space="preserve">Analista de RH</t>
  </si>
  <si>
    <t xml:space="preserve">O assistente de RH ajuda no dia a dia, mas os colaboradores perguntam se as conversas ficam gravadas e quem tem acesso a elas.</t>
  </si>
  <si>
    <t xml:space="preserve">Gráficos (dados da aba Autoavaliação)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</si>
</sst>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"/>
    <numFmt numFmtId="167" formatCode="0%"/>
    <numFmt numFmtId="168" formatCode="0"/>
    <numFmt numFmtId="169" formatCode="\+0.0;\-0.0;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26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0A5E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C5A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545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2E2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Autoavaliação por dimensão: média das duas visões (1 a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Autoavaliação!A30</c:f>
              <c:strCache>
                <c:ptCount val="1"/>
                <c:pt idx="0">
                  <c:v>Marketplace e e-commerce</c:v>
                </c:pt>
              </c:strCache>
            </c:strRef>
          </c:tx>
          <c:spPr>
            <a:solidFill>
              <a:srgbClr val="2e2640"/>
            </a:solidFill>
            <a:ln w="21960">
              <a:solidFill>
                <a:srgbClr val="2e26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Autoavaliação!$B$29:$F$29</c:f>
              <c:strCache>
                <c:ptCount val="5"/>
                <c:pt idx="0">
                  <c:v>Estratégia</c:v>
                </c:pt>
                <c:pt idx="1">
                  <c:v>Dados</c:v>
                </c:pt>
                <c:pt idx="2">
                  <c:v>Tecnologia</c:v>
                </c:pt>
                <c:pt idx="3">
                  <c:v>Pessoas</c:v>
                </c:pt>
                <c:pt idx="4">
                  <c:v>Governança</c:v>
                </c:pt>
              </c:strCache>
            </c:strRef>
          </c:cat>
          <c:val>
            <c:numRef>
              <c:f>Autoavaliação!$B$30:$F$30</c:f>
              <c:numCache>
                <c:formatCode>0.0</c:formatCode>
                <c:ptCount val="5"/>
                <c:pt idx="0">
                  <c:v>2.8375</c:v>
                </c:pt>
                <c:pt idx="1">
                  <c:v>3.4125</c:v>
                </c:pt>
                <c:pt idx="2">
                  <c:v>3.5875</c:v>
                </c:pt>
                <c:pt idx="3">
                  <c:v>3.3125</c:v>
                </c:pt>
                <c:pt idx="4">
                  <c:v>2.8875</c:v>
                </c:pt>
              </c:numCache>
            </c:numRef>
          </c:val>
        </c:ser>
        <c:ser>
          <c:idx val="1"/>
          <c:order val="1"/>
          <c:tx>
            <c:strRef>
              <c:f>Autoavaliação!A31</c:f>
              <c:strCache>
                <c:ptCount val="1"/>
                <c:pt idx="0">
                  <c:v>Logística</c:v>
                </c:pt>
              </c:strCache>
            </c:strRef>
          </c:tx>
          <c:spPr>
            <a:solidFill>
              <a:srgbClr val="90a5e5"/>
            </a:solidFill>
            <a:ln w="21960">
              <a:solidFill>
                <a:srgbClr val="90a5e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Autoavaliação!$B$29:$F$29</c:f>
              <c:strCache>
                <c:ptCount val="5"/>
                <c:pt idx="0">
                  <c:v>Estratégia</c:v>
                </c:pt>
                <c:pt idx="1">
                  <c:v>Dados</c:v>
                </c:pt>
                <c:pt idx="2">
                  <c:v>Tecnologia</c:v>
                </c:pt>
                <c:pt idx="3">
                  <c:v>Pessoas</c:v>
                </c:pt>
                <c:pt idx="4">
                  <c:v>Governança</c:v>
                </c:pt>
              </c:strCache>
            </c:strRef>
          </c:cat>
          <c:val>
            <c:numRef>
              <c:f>Autoavaliação!$B$31:$F$31</c:f>
              <c:numCache>
                <c:formatCode>0.0</c:formatCode>
                <c:ptCount val="5"/>
                <c:pt idx="0">
                  <c:v>2.2</c:v>
                </c:pt>
                <c:pt idx="1">
                  <c:v>3.1</c:v>
                </c:pt>
                <c:pt idx="2">
                  <c:v>2.7625</c:v>
                </c:pt>
                <c:pt idx="3">
                  <c:v>1.95</c:v>
                </c:pt>
                <c:pt idx="4">
                  <c:v>2.0375</c:v>
                </c:pt>
              </c:numCache>
            </c:numRef>
          </c:val>
        </c:ser>
        <c:ser>
          <c:idx val="2"/>
          <c:order val="2"/>
          <c:tx>
            <c:strRef>
              <c:f>Autoavaliação!A32</c:f>
              <c:strCache>
                <c:ptCount val="1"/>
                <c:pt idx="0">
                  <c:v>Lojas físicas</c:v>
                </c:pt>
              </c:strCache>
            </c:strRef>
          </c:tx>
          <c:spPr>
            <a:solidFill>
              <a:srgbClr val="90c5a3"/>
            </a:solidFill>
            <a:ln w="21960">
              <a:solidFill>
                <a:srgbClr val="90c5a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Autoavaliação!$B$29:$F$29</c:f>
              <c:strCache>
                <c:ptCount val="5"/>
                <c:pt idx="0">
                  <c:v>Estratégia</c:v>
                </c:pt>
                <c:pt idx="1">
                  <c:v>Dados</c:v>
                </c:pt>
                <c:pt idx="2">
                  <c:v>Tecnologia</c:v>
                </c:pt>
                <c:pt idx="3">
                  <c:v>Pessoas</c:v>
                </c:pt>
                <c:pt idx="4">
                  <c:v>Governança</c:v>
                </c:pt>
              </c:strCache>
            </c:strRef>
          </c:cat>
          <c:val>
            <c:numRef>
              <c:f>Autoavaliação!$B$32:$F$32</c:f>
              <c:numCache>
                <c:formatCode>0.0</c:formatCode>
                <c:ptCount val="5"/>
                <c:pt idx="0">
                  <c:v>1.45</c:v>
                </c:pt>
                <c:pt idx="1">
                  <c:v>1.65</c:v>
                </c:pt>
                <c:pt idx="2">
                  <c:v>1.5625</c:v>
                </c:pt>
                <c:pt idx="3">
                  <c:v>1.8</c:v>
                </c:pt>
                <c:pt idx="4">
                  <c:v>1.3875</c:v>
                </c:pt>
              </c:numCache>
            </c:numRef>
          </c:val>
        </c:ser>
        <c:ser>
          <c:idx val="3"/>
          <c:order val="3"/>
          <c:tx>
            <c:strRef>
              <c:f>Autoavaliação!A33</c:f>
              <c:strCache>
                <c:ptCount val="1"/>
                <c:pt idx="0">
                  <c:v>Serviços financeiros</c:v>
                </c:pt>
              </c:strCache>
            </c:strRef>
          </c:tx>
          <c:spPr>
            <a:solidFill>
              <a:srgbClr val="ff4545"/>
            </a:solidFill>
            <a:ln w="21960">
              <a:solidFill>
                <a:srgbClr val="ff45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Autoavaliação!$B$29:$F$29</c:f>
              <c:strCache>
                <c:ptCount val="5"/>
                <c:pt idx="0">
                  <c:v>Estratégia</c:v>
                </c:pt>
                <c:pt idx="1">
                  <c:v>Dados</c:v>
                </c:pt>
                <c:pt idx="2">
                  <c:v>Tecnologia</c:v>
                </c:pt>
                <c:pt idx="3">
                  <c:v>Pessoas</c:v>
                </c:pt>
                <c:pt idx="4">
                  <c:v>Governança</c:v>
                </c:pt>
              </c:strCache>
            </c:strRef>
          </c:cat>
          <c:val>
            <c:numRef>
              <c:f>Autoavaliação!$B$33:$F$33</c:f>
              <c:numCache>
                <c:formatCode>0.0</c:formatCode>
                <c:ptCount val="5"/>
                <c:pt idx="0">
                  <c:v>2.9875</c:v>
                </c:pt>
                <c:pt idx="1">
                  <c:v>3.4125</c:v>
                </c:pt>
                <c:pt idx="2">
                  <c:v>2.9875</c:v>
                </c:pt>
                <c:pt idx="3">
                  <c:v>2.6</c:v>
                </c:pt>
                <c:pt idx="4">
                  <c:v>3.4375</c:v>
                </c:pt>
              </c:numCache>
            </c:numRef>
          </c:val>
        </c:ser>
        <c:ser>
          <c:idx val="4"/>
          <c:order val="4"/>
          <c:tx>
            <c:strRef>
              <c:f>Autoavaliação!A34</c:f>
              <c:strCache>
                <c:ptCount val="1"/>
                <c:pt idx="0">
                  <c:v>Corporativo</c:v>
                </c:pt>
              </c:strCache>
            </c:strRef>
          </c:tx>
          <c:spPr>
            <a:solidFill>
              <a:srgbClr val="8c8c8c"/>
            </a:solidFill>
            <a:ln w="21960">
              <a:solidFill>
                <a:srgbClr val="8c8c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Autoavaliação!$B$29:$F$29</c:f>
              <c:strCache>
                <c:ptCount val="5"/>
                <c:pt idx="0">
                  <c:v>Estratégia</c:v>
                </c:pt>
                <c:pt idx="1">
                  <c:v>Dados</c:v>
                </c:pt>
                <c:pt idx="2">
                  <c:v>Tecnologia</c:v>
                </c:pt>
                <c:pt idx="3">
                  <c:v>Pessoas</c:v>
                </c:pt>
                <c:pt idx="4">
                  <c:v>Governança</c:v>
                </c:pt>
              </c:strCache>
            </c:strRef>
          </c:cat>
          <c:val>
            <c:numRef>
              <c:f>Autoavaliação!$B$34:$F$34</c:f>
              <c:numCache>
                <c:formatCode>0.0</c:formatCode>
                <c:ptCount val="5"/>
                <c:pt idx="0">
                  <c:v>2.0125</c:v>
                </c:pt>
                <c:pt idx="1">
                  <c:v>2.3375</c:v>
                </c:pt>
                <c:pt idx="2">
                  <c:v>3.15</c:v>
                </c:pt>
                <c:pt idx="3">
                  <c:v>2.3875</c:v>
                </c:pt>
                <c:pt idx="4">
                  <c:v>2.5</c:v>
                </c:pt>
              </c:numCache>
            </c:numRef>
          </c:val>
        </c:ser>
        <c:axId val="85602811"/>
        <c:axId val="5264498"/>
      </c:radarChart>
      <c:catAx>
        <c:axId val="856028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4498"/>
        <c:crosses val="autoZero"/>
        <c:auto val="1"/>
        <c:lblAlgn val="ctr"/>
        <c:lblOffset val="100"/>
        <c:noMultiLvlLbl val="0"/>
      </c:catAx>
      <c:valAx>
        <c:axId val="5264498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02811"/>
        <c:crosses val="autoZero"/>
        <c:crossBetween val="midCat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Diferença de percepção por dimensão (liderança − equipes)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Autoavaliação!A22</c:f>
              <c:strCache>
                <c:ptCount val="1"/>
                <c:pt idx="0">
                  <c:v>Marketplace e e-commerce</c:v>
                </c:pt>
              </c:strCache>
            </c:strRef>
          </c:tx>
          <c:spPr>
            <a:solidFill>
              <a:srgbClr val="2e2640"/>
            </a:solidFill>
            <a:ln w="0">
              <a:solidFill>
                <a:srgbClr val="2e264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Autoavaliação!$B$21:$F$21</c:f>
              <c:strCache>
                <c:ptCount val="5"/>
                <c:pt idx="0">
                  <c:v>Estratégia</c:v>
                </c:pt>
                <c:pt idx="1">
                  <c:v>Dados</c:v>
                </c:pt>
                <c:pt idx="2">
                  <c:v>Tecnologia</c:v>
                </c:pt>
                <c:pt idx="3">
                  <c:v>Pessoas</c:v>
                </c:pt>
                <c:pt idx="4">
                  <c:v>Governança</c:v>
                </c:pt>
              </c:strCache>
            </c:strRef>
          </c:cat>
          <c:val>
            <c:numRef>
              <c:f>Autoavaliação!$B$22:$F$22</c:f>
              <c:numCache>
                <c:formatCode>\+0.0;\-0.0;0.0</c:formatCode>
                <c:ptCount val="5"/>
                <c:pt idx="0">
                  <c:v>0.625</c:v>
                </c:pt>
                <c:pt idx="1">
                  <c:v>0.675</c:v>
                </c:pt>
                <c:pt idx="2">
                  <c:v>0.875</c:v>
                </c:pt>
                <c:pt idx="3">
                  <c:v>0.575</c:v>
                </c:pt>
                <c:pt idx="4">
                  <c:v>1.375</c:v>
                </c:pt>
              </c:numCache>
            </c:numRef>
          </c:val>
        </c:ser>
        <c:ser>
          <c:idx val="1"/>
          <c:order val="1"/>
          <c:tx>
            <c:strRef>
              <c:f>Autoavaliação!A23</c:f>
              <c:strCache>
                <c:ptCount val="1"/>
                <c:pt idx="0">
                  <c:v>Logística</c:v>
                </c:pt>
              </c:strCache>
            </c:strRef>
          </c:tx>
          <c:spPr>
            <a:solidFill>
              <a:srgbClr val="90a5e5"/>
            </a:solidFill>
            <a:ln w="0">
              <a:solidFill>
                <a:srgbClr val="90a5e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Autoavaliação!$B$21:$F$21</c:f>
              <c:strCache>
                <c:ptCount val="5"/>
                <c:pt idx="0">
                  <c:v>Estratégia</c:v>
                </c:pt>
                <c:pt idx="1">
                  <c:v>Dados</c:v>
                </c:pt>
                <c:pt idx="2">
                  <c:v>Tecnologia</c:v>
                </c:pt>
                <c:pt idx="3">
                  <c:v>Pessoas</c:v>
                </c:pt>
                <c:pt idx="4">
                  <c:v>Governança</c:v>
                </c:pt>
              </c:strCache>
            </c:strRef>
          </c:cat>
          <c:val>
            <c:numRef>
              <c:f>Autoavaliação!$B$23:$F$23</c:f>
              <c:numCache>
                <c:formatCode>\+0.0;\-0.0;0.0</c:formatCode>
                <c:ptCount val="5"/>
                <c:pt idx="0">
                  <c:v>0.5</c:v>
                </c:pt>
                <c:pt idx="1">
                  <c:v>0.2</c:v>
                </c:pt>
                <c:pt idx="2">
                  <c:v>1.125</c:v>
                </c:pt>
                <c:pt idx="3">
                  <c:v>0.3</c:v>
                </c:pt>
                <c:pt idx="4">
                  <c:v>0.675</c:v>
                </c:pt>
              </c:numCache>
            </c:numRef>
          </c:val>
        </c:ser>
        <c:ser>
          <c:idx val="2"/>
          <c:order val="2"/>
          <c:tx>
            <c:strRef>
              <c:f>Autoavaliação!A24</c:f>
              <c:strCache>
                <c:ptCount val="1"/>
                <c:pt idx="0">
                  <c:v>Lojas físicas</c:v>
                </c:pt>
              </c:strCache>
            </c:strRef>
          </c:tx>
          <c:spPr>
            <a:solidFill>
              <a:srgbClr val="90c5a3"/>
            </a:solidFill>
            <a:ln w="0">
              <a:solidFill>
                <a:srgbClr val="90c5a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Autoavaliação!$B$21:$F$21</c:f>
              <c:strCache>
                <c:ptCount val="5"/>
                <c:pt idx="0">
                  <c:v>Estratégia</c:v>
                </c:pt>
                <c:pt idx="1">
                  <c:v>Dados</c:v>
                </c:pt>
                <c:pt idx="2">
                  <c:v>Tecnologia</c:v>
                </c:pt>
                <c:pt idx="3">
                  <c:v>Pessoas</c:v>
                </c:pt>
                <c:pt idx="4">
                  <c:v>Governança</c:v>
                </c:pt>
              </c:strCache>
            </c:strRef>
          </c:cat>
          <c:val>
            <c:numRef>
              <c:f>Autoavaliação!$B$24:$F$24</c:f>
              <c:numCache>
                <c:formatCode>\+0.0;\-0.0;0.0</c:formatCode>
                <c:ptCount val="5"/>
                <c:pt idx="0">
                  <c:v>-0.15</c:v>
                </c:pt>
                <c:pt idx="1">
                  <c:v>0.15</c:v>
                </c:pt>
                <c:pt idx="2">
                  <c:v>-0.475</c:v>
                </c:pt>
                <c:pt idx="3">
                  <c:v>-0.55</c:v>
                </c:pt>
                <c:pt idx="4">
                  <c:v>0.225</c:v>
                </c:pt>
              </c:numCache>
            </c:numRef>
          </c:val>
        </c:ser>
        <c:ser>
          <c:idx val="3"/>
          <c:order val="3"/>
          <c:tx>
            <c:strRef>
              <c:f>Autoavaliação!A25</c:f>
              <c:strCache>
                <c:ptCount val="1"/>
                <c:pt idx="0">
                  <c:v>Serviços financeiros</c:v>
                </c:pt>
              </c:strCache>
            </c:strRef>
          </c:tx>
          <c:spPr>
            <a:solidFill>
              <a:srgbClr val="ff4545"/>
            </a:solidFill>
            <a:ln w="0">
              <a:solidFill>
                <a:srgbClr val="ff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Autoavaliação!$B$21:$F$21</c:f>
              <c:strCache>
                <c:ptCount val="5"/>
                <c:pt idx="0">
                  <c:v>Estratégia</c:v>
                </c:pt>
                <c:pt idx="1">
                  <c:v>Dados</c:v>
                </c:pt>
                <c:pt idx="2">
                  <c:v>Tecnologia</c:v>
                </c:pt>
                <c:pt idx="3">
                  <c:v>Pessoas</c:v>
                </c:pt>
                <c:pt idx="4">
                  <c:v>Governança</c:v>
                </c:pt>
              </c:strCache>
            </c:strRef>
          </c:cat>
          <c:val>
            <c:numRef>
              <c:f>Autoavaliação!$B$25:$F$25</c:f>
              <c:numCache>
                <c:formatCode>\+0.0;\-0.0;0.0</c:formatCode>
                <c:ptCount val="5"/>
                <c:pt idx="0">
                  <c:v>0.475</c:v>
                </c:pt>
                <c:pt idx="1">
                  <c:v>0.375</c:v>
                </c:pt>
                <c:pt idx="2">
                  <c:v>0.525</c:v>
                </c:pt>
                <c:pt idx="3">
                  <c:v>0.3</c:v>
                </c:pt>
                <c:pt idx="4">
                  <c:v>1.425</c:v>
                </c:pt>
              </c:numCache>
            </c:numRef>
          </c:val>
        </c:ser>
        <c:ser>
          <c:idx val="4"/>
          <c:order val="4"/>
          <c:tx>
            <c:strRef>
              <c:f>Autoavaliação!A26</c:f>
              <c:strCache>
                <c:ptCount val="1"/>
                <c:pt idx="0">
                  <c:v>Corporativo</c:v>
                </c:pt>
              </c:strCache>
            </c:strRef>
          </c:tx>
          <c:spPr>
            <a:solidFill>
              <a:srgbClr val="8c8c8c"/>
            </a:solidFill>
            <a:ln w="0">
              <a:solidFill>
                <a:srgbClr val="8c8c8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Autoavaliação!$B$21:$F$21</c:f>
              <c:strCache>
                <c:ptCount val="5"/>
                <c:pt idx="0">
                  <c:v>Estratégia</c:v>
                </c:pt>
                <c:pt idx="1">
                  <c:v>Dados</c:v>
                </c:pt>
                <c:pt idx="2">
                  <c:v>Tecnologia</c:v>
                </c:pt>
                <c:pt idx="3">
                  <c:v>Pessoas</c:v>
                </c:pt>
                <c:pt idx="4">
                  <c:v>Governança</c:v>
                </c:pt>
              </c:strCache>
            </c:strRef>
          </c:cat>
          <c:val>
            <c:numRef>
              <c:f>Autoavaliação!$B$26:$F$26</c:f>
              <c:numCache>
                <c:formatCode>\+0.0;\-0.0;0.0</c:formatCode>
                <c:ptCount val="5"/>
                <c:pt idx="0">
                  <c:v>0.475</c:v>
                </c:pt>
                <c:pt idx="1">
                  <c:v>0.325</c:v>
                </c:pt>
                <c:pt idx="2">
                  <c:v>0.5</c:v>
                </c:pt>
                <c:pt idx="3">
                  <c:v>0.225</c:v>
                </c:pt>
                <c:pt idx="4">
                  <c:v>0.5</c:v>
                </c:pt>
              </c:numCache>
            </c:numRef>
          </c:val>
        </c:ser>
        <c:gapWidth val="150"/>
        <c:overlap val="0"/>
        <c:axId val="88698765"/>
        <c:axId val="56625226"/>
      </c:barChart>
      <c:catAx>
        <c:axId val="886987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25226"/>
        <c:crosses val="autoZero"/>
        <c:auto val="1"/>
        <c:lblAlgn val="ctr"/>
        <c:lblOffset val="100"/>
        <c:noMultiLvlLbl val="0"/>
      </c:catAx>
      <c:valAx>
        <c:axId val="5662522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Pontos na escala de 1 a 5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.0;\-0.0;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987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11</xdr:col>
      <xdr:colOff>473040</xdr:colOff>
      <xdr:row>22</xdr:row>
      <xdr:rowOff>149400</xdr:rowOff>
    </xdr:to>
    <xdr:graphicFrame>
      <xdr:nvGraphicFramePr>
        <xdr:cNvPr id="0" name="Chart 1"/>
        <xdr:cNvGraphicFramePr/>
      </xdr:nvGraphicFramePr>
      <xdr:xfrm>
        <a:off x="0" y="3808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11</xdr:col>
      <xdr:colOff>473040</xdr:colOff>
      <xdr:row>46</xdr:row>
      <xdr:rowOff>149400</xdr:rowOff>
    </xdr:to>
    <xdr:graphicFrame>
      <xdr:nvGraphicFramePr>
        <xdr:cNvPr id="1" name="Chart 2"/>
        <xdr:cNvGraphicFramePr/>
      </xdr:nvGraphicFramePr>
      <xdr:xfrm>
        <a:off x="0" y="49528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46.2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46.2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23.85" hidden="false" customHeight="false" outlineLevel="0" collapsed="false">
      <c r="A11" s="2" t="s">
        <v>7</v>
      </c>
    </row>
    <row r="12" customFormat="false" ht="23.8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23.8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2" t="s">
        <v>20</v>
      </c>
    </row>
    <row r="27" customFormat="false" ht="23.85" hidden="false" customHeight="false" outlineLevel="0" collapsed="false">
      <c r="A27" s="2" t="s">
        <v>21</v>
      </c>
    </row>
    <row r="28" customFormat="false" ht="23.85" hidden="false" customHeight="false" outlineLevel="0" collapsed="false">
      <c r="A28" s="2" t="s">
        <v>22</v>
      </c>
    </row>
    <row r="29" customFormat="false" ht="23.8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3" t="s">
        <v>24</v>
      </c>
    </row>
    <row r="32" customFormat="false" ht="15" hidden="false" customHeight="false" outlineLevel="0" collapsed="false">
      <c r="A32" s="2" t="s">
        <v>25</v>
      </c>
    </row>
    <row r="33" customFormat="false" ht="23.8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3" t="s">
        <v>27</v>
      </c>
    </row>
    <row r="36" customFormat="false" ht="23.85" hidden="false" customHeight="false" outlineLevel="0" collapsed="false">
      <c r="A36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30"/>
  </cols>
  <sheetData>
    <row r="1" customFormat="false" ht="15" hidden="false" customHeight="false" outlineLevel="0" collapsed="false">
      <c r="A1" s="4" t="s">
        <v>29</v>
      </c>
    </row>
    <row r="3" customFormat="false" ht="15" hidden="false" customHeight="false" outlineLevel="0" collapsed="false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</row>
    <row r="4" customFormat="false" ht="57.75" hidden="false" customHeight="true" outlineLevel="0" collapsed="false">
      <c r="A4" s="6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</row>
    <row r="5" customFormat="false" ht="57.75" hidden="false" customHeight="true" outlineLevel="0" collapsed="false">
      <c r="A5" s="6" t="s">
        <v>42</v>
      </c>
      <c r="B5" s="7" t="s">
        <v>43</v>
      </c>
      <c r="C5" s="7" t="s">
        <v>44</v>
      </c>
      <c r="D5" s="7" t="s">
        <v>45</v>
      </c>
      <c r="E5" s="7" t="s">
        <v>46</v>
      </c>
      <c r="F5" s="7" t="s">
        <v>47</v>
      </c>
    </row>
    <row r="6" customFormat="false" ht="57.75" hidden="false" customHeight="true" outlineLevel="0" collapsed="false">
      <c r="A6" s="6" t="s">
        <v>48</v>
      </c>
      <c r="B6" s="7" t="s">
        <v>49</v>
      </c>
      <c r="C6" s="7" t="s">
        <v>50</v>
      </c>
      <c r="D6" s="7" t="s">
        <v>51</v>
      </c>
      <c r="E6" s="7" t="s">
        <v>52</v>
      </c>
      <c r="F6" s="7" t="s">
        <v>53</v>
      </c>
    </row>
    <row r="7" customFormat="false" ht="57.75" hidden="false" customHeight="true" outlineLevel="0" collapsed="false">
      <c r="A7" s="6" t="s">
        <v>54</v>
      </c>
      <c r="B7" s="7" t="s">
        <v>55</v>
      </c>
      <c r="C7" s="7" t="s">
        <v>56</v>
      </c>
      <c r="D7" s="7" t="s">
        <v>57</v>
      </c>
      <c r="E7" s="7" t="s">
        <v>58</v>
      </c>
      <c r="F7" s="7" t="s">
        <v>59</v>
      </c>
    </row>
    <row r="8" customFormat="false" ht="57.75" hidden="false" customHeight="true" outlineLevel="0" collapsed="false">
      <c r="A8" s="6" t="s">
        <v>60</v>
      </c>
      <c r="B8" s="7" t="s">
        <v>61</v>
      </c>
      <c r="C8" s="7" t="s">
        <v>62</v>
      </c>
      <c r="D8" s="7" t="s">
        <v>63</v>
      </c>
      <c r="E8" s="7" t="s">
        <v>64</v>
      </c>
      <c r="F8" s="7" t="s">
        <v>65</v>
      </c>
    </row>
    <row r="11" customFormat="false" ht="15" hidden="false" customHeight="false" outlineLevel="0" collapsed="false">
      <c r="A11" s="8" t="s">
        <v>66</v>
      </c>
    </row>
    <row r="12" customFormat="false" ht="15" hidden="false" customHeight="false" outlineLevel="0" collapsed="false">
      <c r="A12" s="5" t="s">
        <v>67</v>
      </c>
      <c r="B12" s="5" t="s">
        <v>68</v>
      </c>
    </row>
    <row r="13" customFormat="false" ht="15" hidden="false" customHeight="false" outlineLevel="0" collapsed="false">
      <c r="A13" s="9" t="n">
        <v>1</v>
      </c>
      <c r="B13" s="7" t="s">
        <v>69</v>
      </c>
    </row>
    <row r="14" customFormat="false" ht="15" hidden="false" customHeight="false" outlineLevel="0" collapsed="false">
      <c r="A14" s="9" t="n">
        <v>2</v>
      </c>
      <c r="B14" s="7" t="s">
        <v>70</v>
      </c>
    </row>
    <row r="15" customFormat="false" ht="15" hidden="false" customHeight="false" outlineLevel="0" collapsed="false">
      <c r="A15" s="9" t="n">
        <v>3</v>
      </c>
      <c r="B15" s="7" t="s">
        <v>71</v>
      </c>
    </row>
    <row r="16" customFormat="false" ht="15" hidden="false" customHeight="false" outlineLevel="0" collapsed="false">
      <c r="A16" s="9" t="n">
        <v>4</v>
      </c>
      <c r="B16" s="7" t="s">
        <v>72</v>
      </c>
    </row>
    <row r="17" customFormat="false" ht="15" hidden="false" customHeight="false" outlineLevel="0" collapsed="false">
      <c r="A17" s="9" t="n">
        <v>5</v>
      </c>
      <c r="B17" s="7" t="s">
        <v>73</v>
      </c>
    </row>
    <row r="19" customFormat="false" ht="15" hidden="false" customHeight="false" outlineLevel="0" collapsed="false">
      <c r="A19" s="1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4" t="s">
        <v>75</v>
      </c>
    </row>
    <row r="3" customFormat="false" ht="15" hidden="false" customHeight="false" outlineLevel="0" collapsed="false">
      <c r="A3" s="5" t="s">
        <v>76</v>
      </c>
      <c r="B3" s="5" t="s">
        <v>30</v>
      </c>
      <c r="C3" s="5" t="s">
        <v>77</v>
      </c>
    </row>
    <row r="4" customFormat="false" ht="15" hidden="false" customHeight="false" outlineLevel="0" collapsed="false">
      <c r="A4" s="11" t="s">
        <v>78</v>
      </c>
      <c r="B4" s="7" t="s">
        <v>36</v>
      </c>
      <c r="C4" s="7" t="s">
        <v>79</v>
      </c>
    </row>
    <row r="5" customFormat="false" ht="15" hidden="false" customHeight="false" outlineLevel="0" collapsed="false">
      <c r="A5" s="11" t="s">
        <v>80</v>
      </c>
      <c r="B5" s="7" t="s">
        <v>36</v>
      </c>
      <c r="C5" s="7" t="s">
        <v>81</v>
      </c>
    </row>
    <row r="6" customFormat="false" ht="15" hidden="false" customHeight="false" outlineLevel="0" collapsed="false">
      <c r="A6" s="11" t="s">
        <v>82</v>
      </c>
      <c r="B6" s="7" t="s">
        <v>36</v>
      </c>
      <c r="C6" s="7" t="s">
        <v>83</v>
      </c>
    </row>
    <row r="7" customFormat="false" ht="15" hidden="false" customHeight="false" outlineLevel="0" collapsed="false">
      <c r="A7" s="11" t="s">
        <v>84</v>
      </c>
      <c r="B7" s="7" t="s">
        <v>36</v>
      </c>
      <c r="C7" s="7" t="s">
        <v>85</v>
      </c>
    </row>
    <row r="8" customFormat="false" ht="15" hidden="false" customHeight="false" outlineLevel="0" collapsed="false">
      <c r="A8" s="11" t="s">
        <v>86</v>
      </c>
      <c r="B8" s="7" t="s">
        <v>42</v>
      </c>
      <c r="C8" s="7" t="s">
        <v>87</v>
      </c>
    </row>
    <row r="9" customFormat="false" ht="15" hidden="false" customHeight="false" outlineLevel="0" collapsed="false">
      <c r="A9" s="11" t="s">
        <v>88</v>
      </c>
      <c r="B9" s="7" t="s">
        <v>42</v>
      </c>
      <c r="C9" s="7" t="s">
        <v>89</v>
      </c>
    </row>
    <row r="10" customFormat="false" ht="15" hidden="false" customHeight="false" outlineLevel="0" collapsed="false">
      <c r="A10" s="11" t="s">
        <v>90</v>
      </c>
      <c r="B10" s="7" t="s">
        <v>42</v>
      </c>
      <c r="C10" s="7" t="s">
        <v>91</v>
      </c>
    </row>
    <row r="11" customFormat="false" ht="15" hidden="false" customHeight="false" outlineLevel="0" collapsed="false">
      <c r="A11" s="11" t="s">
        <v>92</v>
      </c>
      <c r="B11" s="7" t="s">
        <v>42</v>
      </c>
      <c r="C11" s="7" t="s">
        <v>93</v>
      </c>
    </row>
    <row r="12" customFormat="false" ht="15" hidden="false" customHeight="false" outlineLevel="0" collapsed="false">
      <c r="A12" s="11" t="s">
        <v>94</v>
      </c>
      <c r="B12" s="7" t="s">
        <v>48</v>
      </c>
      <c r="C12" s="7" t="s">
        <v>95</v>
      </c>
    </row>
    <row r="13" customFormat="false" ht="15" hidden="false" customHeight="false" outlineLevel="0" collapsed="false">
      <c r="A13" s="11" t="s">
        <v>96</v>
      </c>
      <c r="B13" s="7" t="s">
        <v>48</v>
      </c>
      <c r="C13" s="7" t="s">
        <v>97</v>
      </c>
    </row>
    <row r="14" customFormat="false" ht="15" hidden="false" customHeight="false" outlineLevel="0" collapsed="false">
      <c r="A14" s="11" t="s">
        <v>98</v>
      </c>
      <c r="B14" s="7" t="s">
        <v>48</v>
      </c>
      <c r="C14" s="7" t="s">
        <v>99</v>
      </c>
    </row>
    <row r="15" customFormat="false" ht="15" hidden="false" customHeight="false" outlineLevel="0" collapsed="false">
      <c r="A15" s="11" t="s">
        <v>100</v>
      </c>
      <c r="B15" s="7" t="s">
        <v>48</v>
      </c>
      <c r="C15" s="7" t="s">
        <v>101</v>
      </c>
    </row>
    <row r="16" customFormat="false" ht="15" hidden="false" customHeight="false" outlineLevel="0" collapsed="false">
      <c r="A16" s="11" t="s">
        <v>102</v>
      </c>
      <c r="B16" s="7" t="s">
        <v>54</v>
      </c>
      <c r="C16" s="7" t="s">
        <v>103</v>
      </c>
    </row>
    <row r="17" customFormat="false" ht="15" hidden="false" customHeight="false" outlineLevel="0" collapsed="false">
      <c r="A17" s="11" t="s">
        <v>104</v>
      </c>
      <c r="B17" s="7" t="s">
        <v>54</v>
      </c>
      <c r="C17" s="7" t="s">
        <v>105</v>
      </c>
    </row>
    <row r="18" customFormat="false" ht="15" hidden="false" customHeight="false" outlineLevel="0" collapsed="false">
      <c r="A18" s="11" t="s">
        <v>106</v>
      </c>
      <c r="B18" s="7" t="s">
        <v>54</v>
      </c>
      <c r="C18" s="7" t="s">
        <v>107</v>
      </c>
    </row>
    <row r="19" customFormat="false" ht="15" hidden="false" customHeight="false" outlineLevel="0" collapsed="false">
      <c r="A19" s="11" t="s">
        <v>108</v>
      </c>
      <c r="B19" s="7" t="s">
        <v>54</v>
      </c>
      <c r="C19" s="7" t="s">
        <v>109</v>
      </c>
    </row>
    <row r="20" customFormat="false" ht="15" hidden="false" customHeight="false" outlineLevel="0" collapsed="false">
      <c r="A20" s="11" t="s">
        <v>110</v>
      </c>
      <c r="B20" s="7" t="s">
        <v>60</v>
      </c>
      <c r="C20" s="7" t="s">
        <v>111</v>
      </c>
    </row>
    <row r="21" customFormat="false" ht="15" hidden="false" customHeight="false" outlineLevel="0" collapsed="false">
      <c r="A21" s="11" t="s">
        <v>112</v>
      </c>
      <c r="B21" s="7" t="s">
        <v>60</v>
      </c>
      <c r="C21" s="7" t="s">
        <v>113</v>
      </c>
    </row>
    <row r="22" customFormat="false" ht="15" hidden="false" customHeight="false" outlineLevel="0" collapsed="false">
      <c r="A22" s="11" t="s">
        <v>114</v>
      </c>
      <c r="B22" s="7" t="s">
        <v>60</v>
      </c>
      <c r="C22" s="7" t="s">
        <v>115</v>
      </c>
    </row>
    <row r="23" customFormat="false" ht="15" hidden="false" customHeight="false" outlineLevel="0" collapsed="false">
      <c r="A23" s="11" t="s">
        <v>116</v>
      </c>
      <c r="B23" s="7" t="s">
        <v>60</v>
      </c>
      <c r="C23" s="7" t="s">
        <v>117</v>
      </c>
    </row>
    <row r="25" customFormat="false" ht="15" hidden="false" customHeight="false" outlineLevel="0" collapsed="false">
      <c r="A25" s="8" t="s">
        <v>118</v>
      </c>
    </row>
    <row r="26" customFormat="false" ht="15" hidden="false" customHeight="false" outlineLevel="0" collapsed="false">
      <c r="A26" s="12" t="s">
        <v>119</v>
      </c>
    </row>
    <row r="27" customFormat="false" ht="15" hidden="false" customHeight="false" outlineLevel="0" collapsed="false">
      <c r="A27" s="12" t="s">
        <v>120</v>
      </c>
    </row>
    <row r="28" customFormat="false" ht="15" hidden="false" customHeight="false" outlineLevel="0" collapsed="false">
      <c r="A28" s="12" t="s">
        <v>121</v>
      </c>
    </row>
    <row r="29" customFormat="false" ht="15" hidden="false" customHeight="false" outlineLevel="0" collapsed="false">
      <c r="A29" s="1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4"/>
  </cols>
  <sheetData>
    <row r="1" customFormat="false" ht="15" hidden="false" customHeight="false" outlineLevel="0" collapsed="false">
      <c r="A1" s="4" t="s">
        <v>123</v>
      </c>
    </row>
    <row r="2" customFormat="false" ht="15" hidden="false" customHeight="false" outlineLevel="0" collapsed="false">
      <c r="A2" s="10" t="s">
        <v>124</v>
      </c>
    </row>
    <row r="4" customFormat="false" ht="42" hidden="false" customHeight="true" outlineLevel="0" collapsed="false">
      <c r="A4" s="5" t="s">
        <v>125</v>
      </c>
      <c r="B4" s="5" t="s">
        <v>126</v>
      </c>
      <c r="C4" s="5" t="s">
        <v>127</v>
      </c>
      <c r="D4" s="5" t="s">
        <v>128</v>
      </c>
      <c r="E4" s="5" t="s">
        <v>129</v>
      </c>
      <c r="F4" s="5" t="s">
        <v>130</v>
      </c>
      <c r="G4" s="5" t="s">
        <v>131</v>
      </c>
      <c r="H4" s="5" t="s">
        <v>132</v>
      </c>
      <c r="I4" s="5" t="s">
        <v>133</v>
      </c>
    </row>
    <row r="5" customFormat="false" ht="15" hidden="false" customHeight="false" outlineLevel="0" collapsed="false">
      <c r="A5" s="7" t="s">
        <v>134</v>
      </c>
      <c r="B5" s="13" t="n">
        <v>12</v>
      </c>
      <c r="C5" s="13" t="n">
        <v>10</v>
      </c>
      <c r="D5" s="14" t="n">
        <f aca="false">IF(B5=0,0,C5/B5)</f>
        <v>0.833333333333333</v>
      </c>
      <c r="E5" s="13" t="n">
        <v>85</v>
      </c>
      <c r="F5" s="13" t="n">
        <v>60</v>
      </c>
      <c r="G5" s="14" t="n">
        <f aca="false">IF(E5=0,0,F5/E5)</f>
        <v>0.705882352941177</v>
      </c>
      <c r="H5" s="15" t="n">
        <f aca="false">C5+F5</f>
        <v>70</v>
      </c>
      <c r="I5" s="14" t="n">
        <f aca="false">IF(B5+E5=0,0,H5/(B5+E5))</f>
        <v>0.721649484536083</v>
      </c>
    </row>
    <row r="6" customFormat="false" ht="15" hidden="false" customHeight="false" outlineLevel="0" collapsed="false">
      <c r="A6" s="7" t="s">
        <v>135</v>
      </c>
      <c r="B6" s="13" t="n">
        <v>10</v>
      </c>
      <c r="C6" s="13" t="n">
        <v>8</v>
      </c>
      <c r="D6" s="14" t="n">
        <f aca="false">IF(B6=0,0,C6/B6)</f>
        <v>0.8</v>
      </c>
      <c r="E6" s="13" t="n">
        <v>60</v>
      </c>
      <c r="F6" s="13" t="n">
        <v>31</v>
      </c>
      <c r="G6" s="14" t="n">
        <f aca="false">IF(E6=0,0,F6/E6)</f>
        <v>0.516666666666667</v>
      </c>
      <c r="H6" s="15" t="n">
        <f aca="false">C6+F6</f>
        <v>39</v>
      </c>
      <c r="I6" s="14" t="n">
        <f aca="false">IF(B6+E6=0,0,H6/(B6+E6))</f>
        <v>0.557142857142857</v>
      </c>
    </row>
    <row r="7" customFormat="false" ht="15" hidden="false" customHeight="false" outlineLevel="0" collapsed="false">
      <c r="A7" s="7" t="s">
        <v>136</v>
      </c>
      <c r="B7" s="13" t="n">
        <v>40</v>
      </c>
      <c r="C7" s="13" t="n">
        <v>22</v>
      </c>
      <c r="D7" s="14" t="n">
        <f aca="false">IF(B7=0,0,C7/B7)</f>
        <v>0.55</v>
      </c>
      <c r="E7" s="13" t="n">
        <v>150</v>
      </c>
      <c r="F7" s="13" t="n">
        <v>27</v>
      </c>
      <c r="G7" s="14" t="n">
        <f aca="false">IF(E7=0,0,F7/E7)</f>
        <v>0.18</v>
      </c>
      <c r="H7" s="15" t="n">
        <f aca="false">C7+F7</f>
        <v>49</v>
      </c>
      <c r="I7" s="14" t="n">
        <f aca="false">IF(B7+E7=0,0,H7/(B7+E7))</f>
        <v>0.257894736842105</v>
      </c>
    </row>
    <row r="8" customFormat="false" ht="15" hidden="false" customHeight="false" outlineLevel="0" collapsed="false">
      <c r="A8" s="7" t="s">
        <v>137</v>
      </c>
      <c r="B8" s="13" t="n">
        <v>8</v>
      </c>
      <c r="C8" s="13" t="n">
        <v>7</v>
      </c>
      <c r="D8" s="14" t="n">
        <f aca="false">IF(B8=0,0,C8/B8)</f>
        <v>0.875</v>
      </c>
      <c r="E8" s="13" t="n">
        <v>45</v>
      </c>
      <c r="F8" s="13" t="n">
        <v>33</v>
      </c>
      <c r="G8" s="14" t="n">
        <f aca="false">IF(E8=0,0,F8/E8)</f>
        <v>0.733333333333333</v>
      </c>
      <c r="H8" s="15" t="n">
        <f aca="false">C8+F8</f>
        <v>40</v>
      </c>
      <c r="I8" s="14" t="n">
        <f aca="false">IF(B8+E8=0,0,H8/(B8+E8))</f>
        <v>0.754716981132076</v>
      </c>
    </row>
    <row r="9" customFormat="false" ht="15" hidden="false" customHeight="false" outlineLevel="0" collapsed="false">
      <c r="A9" s="7" t="s">
        <v>138</v>
      </c>
      <c r="B9" s="13" t="n">
        <v>15</v>
      </c>
      <c r="C9" s="13" t="n">
        <v>11</v>
      </c>
      <c r="D9" s="14" t="n">
        <f aca="false">IF(B9=0,0,C9/B9)</f>
        <v>0.733333333333333</v>
      </c>
      <c r="E9" s="13" t="n">
        <v>70</v>
      </c>
      <c r="F9" s="13" t="n">
        <v>38</v>
      </c>
      <c r="G9" s="14" t="n">
        <f aca="false">IF(E9=0,0,F9/E9)</f>
        <v>0.542857142857143</v>
      </c>
      <c r="H9" s="15" t="n">
        <f aca="false">C9+F9</f>
        <v>49</v>
      </c>
      <c r="I9" s="14" t="n">
        <f aca="false">IF(B9+E9=0,0,H9/(B9+E9))</f>
        <v>0.576470588235294</v>
      </c>
    </row>
    <row r="10" customFormat="false" ht="15" hidden="false" customHeight="false" outlineLevel="0" collapsed="false">
      <c r="A10" s="6" t="s">
        <v>139</v>
      </c>
      <c r="B10" s="16" t="n">
        <f aca="false">SUM(B5:B9)</f>
        <v>85</v>
      </c>
      <c r="C10" s="16" t="n">
        <f aca="false">SUM(C5:C9)</f>
        <v>58</v>
      </c>
      <c r="D10" s="17" t="n">
        <f aca="false">IF(B10=0,0,C10/B10)</f>
        <v>0.682352941176471</v>
      </c>
      <c r="E10" s="16" t="n">
        <f aca="false">SUM(E5:E9)</f>
        <v>410</v>
      </c>
      <c r="F10" s="16" t="n">
        <f aca="false">SUM(F5:F9)</f>
        <v>189</v>
      </c>
      <c r="G10" s="17" t="n">
        <f aca="false">IF(E10=0,0,F10/E10)</f>
        <v>0.460975609756098</v>
      </c>
      <c r="H10" s="16" t="n">
        <f aca="false">SUM(H5:H9)</f>
        <v>247</v>
      </c>
      <c r="I10" s="17" t="n">
        <f aca="false">IF(B10+E10=0,0,H10/(B10+E10))</f>
        <v>0.498989898989899</v>
      </c>
    </row>
    <row r="12" customFormat="false" ht="15" hidden="false" customHeight="false" outlineLevel="0" collapsed="false">
      <c r="A12" s="10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12" min="3" style="0" width="12"/>
  </cols>
  <sheetData>
    <row r="1" customFormat="false" ht="15" hidden="false" customHeight="false" outlineLevel="0" collapsed="false">
      <c r="A1" s="4" t="s">
        <v>141</v>
      </c>
    </row>
    <row r="2" customFormat="false" ht="15" hidden="false" customHeight="false" outlineLevel="0" collapsed="false">
      <c r="A2" s="10" t="s">
        <v>142</v>
      </c>
    </row>
    <row r="4" customFormat="false" ht="30" hidden="false" customHeight="true" outlineLevel="0" collapsed="false">
      <c r="A4" s="5" t="s">
        <v>76</v>
      </c>
      <c r="B4" s="5" t="s">
        <v>30</v>
      </c>
      <c r="C4" s="5" t="s">
        <v>134</v>
      </c>
      <c r="D4" s="5"/>
      <c r="E4" s="5" t="s">
        <v>135</v>
      </c>
      <c r="F4" s="5"/>
      <c r="G4" s="5" t="s">
        <v>136</v>
      </c>
      <c r="H4" s="5"/>
      <c r="I4" s="5" t="s">
        <v>137</v>
      </c>
      <c r="J4" s="5"/>
      <c r="K4" s="5" t="s">
        <v>138</v>
      </c>
      <c r="L4" s="5"/>
    </row>
    <row r="5" customFormat="false" ht="15" hidden="false" customHeight="false" outlineLevel="0" collapsed="false">
      <c r="A5" s="5"/>
      <c r="B5" s="5"/>
      <c r="C5" s="5" t="s">
        <v>143</v>
      </c>
      <c r="D5" s="5" t="s">
        <v>144</v>
      </c>
      <c r="E5" s="5" t="s">
        <v>143</v>
      </c>
      <c r="F5" s="5" t="s">
        <v>144</v>
      </c>
      <c r="G5" s="5" t="s">
        <v>143</v>
      </c>
      <c r="H5" s="5" t="s">
        <v>144</v>
      </c>
      <c r="I5" s="5" t="s">
        <v>143</v>
      </c>
      <c r="J5" s="5" t="s">
        <v>144</v>
      </c>
      <c r="K5" s="5" t="s">
        <v>143</v>
      </c>
      <c r="L5" s="5" t="s">
        <v>144</v>
      </c>
    </row>
    <row r="6" customFormat="false" ht="15" hidden="false" customHeight="false" outlineLevel="0" collapsed="false">
      <c r="A6" s="11" t="s">
        <v>78</v>
      </c>
      <c r="B6" s="7" t="s">
        <v>36</v>
      </c>
      <c r="C6" s="9" t="n">
        <v>3.6</v>
      </c>
      <c r="D6" s="9" t="n">
        <v>2.9</v>
      </c>
      <c r="E6" s="9" t="n">
        <v>3</v>
      </c>
      <c r="F6" s="9" t="n">
        <v>2.2</v>
      </c>
      <c r="G6" s="9" t="n">
        <v>1.6</v>
      </c>
      <c r="H6" s="9" t="n">
        <v>1.9</v>
      </c>
      <c r="I6" s="9" t="n">
        <v>3.4</v>
      </c>
      <c r="J6" s="9" t="n">
        <v>2.8</v>
      </c>
      <c r="K6" s="9" t="n">
        <v>2.6</v>
      </c>
      <c r="L6" s="9" t="n">
        <v>2</v>
      </c>
    </row>
    <row r="7" customFormat="false" ht="15" hidden="false" customHeight="false" outlineLevel="0" collapsed="false">
      <c r="A7" s="11" t="s">
        <v>80</v>
      </c>
      <c r="B7" s="7" t="s">
        <v>36</v>
      </c>
      <c r="C7" s="9" t="n">
        <v>3.2</v>
      </c>
      <c r="D7" s="9" t="n">
        <v>2.4</v>
      </c>
      <c r="E7" s="9" t="n">
        <v>2.4</v>
      </c>
      <c r="F7" s="9" t="n">
        <v>1.9</v>
      </c>
      <c r="G7" s="9" t="n">
        <v>1.4</v>
      </c>
      <c r="H7" s="9" t="n">
        <v>1.5</v>
      </c>
      <c r="I7" s="9" t="n">
        <v>3.2</v>
      </c>
      <c r="J7" s="9" t="n">
        <v>2.9</v>
      </c>
      <c r="K7" s="9" t="n">
        <v>2.4</v>
      </c>
      <c r="L7" s="9" t="n">
        <v>1.8</v>
      </c>
    </row>
    <row r="8" customFormat="false" ht="15" hidden="false" customHeight="false" outlineLevel="0" collapsed="false">
      <c r="A8" s="11" t="s">
        <v>82</v>
      </c>
      <c r="B8" s="7" t="s">
        <v>36</v>
      </c>
      <c r="C8" s="9" t="n">
        <v>3</v>
      </c>
      <c r="D8" s="9" t="n">
        <v>2.6</v>
      </c>
      <c r="E8" s="9" t="n">
        <v>1.8</v>
      </c>
      <c r="F8" s="9" t="n">
        <v>1.7</v>
      </c>
      <c r="G8" s="9" t="n">
        <v>1.2</v>
      </c>
      <c r="H8" s="9" t="n">
        <v>1.3</v>
      </c>
      <c r="I8" s="9" t="n">
        <v>3</v>
      </c>
      <c r="J8" s="9" t="n">
        <v>2.6</v>
      </c>
      <c r="K8" s="9" t="n">
        <v>2</v>
      </c>
      <c r="L8" s="9" t="n">
        <v>1.7</v>
      </c>
    </row>
    <row r="9" customFormat="false" ht="15" hidden="false" customHeight="false" outlineLevel="0" collapsed="false">
      <c r="A9" s="11" t="s">
        <v>84</v>
      </c>
      <c r="B9" s="7" t="s">
        <v>36</v>
      </c>
      <c r="C9" s="9" t="n">
        <v>2.8</v>
      </c>
      <c r="D9" s="9" t="n">
        <v>2.2</v>
      </c>
      <c r="E9" s="9" t="n">
        <v>2.6</v>
      </c>
      <c r="F9" s="9" t="n">
        <v>2</v>
      </c>
      <c r="G9" s="9" t="n">
        <v>1.3</v>
      </c>
      <c r="H9" s="9" t="n">
        <v>1.4</v>
      </c>
      <c r="I9" s="9" t="n">
        <v>3.3</v>
      </c>
      <c r="J9" s="9" t="n">
        <v>2.7</v>
      </c>
      <c r="K9" s="9" t="n">
        <v>2</v>
      </c>
      <c r="L9" s="9" t="n">
        <v>1.6</v>
      </c>
    </row>
    <row r="10" customFormat="false" ht="15" hidden="false" customHeight="false" outlineLevel="0" collapsed="false">
      <c r="A10" s="11" t="s">
        <v>86</v>
      </c>
      <c r="B10" s="7" t="s">
        <v>42</v>
      </c>
      <c r="C10" s="9" t="n">
        <v>4.2</v>
      </c>
      <c r="D10" s="9" t="n">
        <v>3.9</v>
      </c>
      <c r="E10" s="9" t="n">
        <v>3.8</v>
      </c>
      <c r="F10" s="9" t="n">
        <v>3.6</v>
      </c>
      <c r="G10" s="9" t="n">
        <v>2</v>
      </c>
      <c r="H10" s="9" t="n">
        <v>1.8</v>
      </c>
      <c r="I10" s="9" t="n">
        <v>4</v>
      </c>
      <c r="J10" s="9" t="n">
        <v>3.7</v>
      </c>
      <c r="K10" s="9" t="n">
        <v>2.8</v>
      </c>
      <c r="L10" s="9" t="n">
        <v>2.5</v>
      </c>
    </row>
    <row r="11" customFormat="false" ht="15" hidden="false" customHeight="false" outlineLevel="0" collapsed="false">
      <c r="A11" s="11" t="s">
        <v>88</v>
      </c>
      <c r="B11" s="7" t="s">
        <v>42</v>
      </c>
      <c r="C11" s="9" t="n">
        <v>3.8</v>
      </c>
      <c r="D11" s="9" t="n">
        <v>3.1</v>
      </c>
      <c r="E11" s="9" t="n">
        <v>3.4</v>
      </c>
      <c r="F11" s="9" t="n">
        <v>3.2</v>
      </c>
      <c r="G11" s="9" t="n">
        <v>1.8</v>
      </c>
      <c r="H11" s="9" t="n">
        <v>1.6</v>
      </c>
      <c r="I11" s="9" t="n">
        <v>3.8</v>
      </c>
      <c r="J11" s="9" t="n">
        <v>3.4</v>
      </c>
      <c r="K11" s="9" t="n">
        <v>2.4</v>
      </c>
      <c r="L11" s="9" t="n">
        <v>2.2</v>
      </c>
    </row>
    <row r="12" customFormat="false" ht="15" hidden="false" customHeight="false" outlineLevel="0" collapsed="false">
      <c r="A12" s="11" t="s">
        <v>90</v>
      </c>
      <c r="B12" s="7" t="s">
        <v>42</v>
      </c>
      <c r="C12" s="9" t="n">
        <v>3.6</v>
      </c>
      <c r="D12" s="9" t="n">
        <v>2.8</v>
      </c>
      <c r="E12" s="9" t="n">
        <v>3</v>
      </c>
      <c r="F12" s="9" t="n">
        <v>2.8</v>
      </c>
      <c r="G12" s="9" t="n">
        <v>1.5</v>
      </c>
      <c r="H12" s="9" t="n">
        <v>1.4</v>
      </c>
      <c r="I12" s="9" t="n">
        <v>3.6</v>
      </c>
      <c r="J12" s="9" t="n">
        <v>3.2</v>
      </c>
      <c r="K12" s="9" t="n">
        <v>2.2</v>
      </c>
      <c r="L12" s="9" t="n">
        <v>2</v>
      </c>
    </row>
    <row r="13" customFormat="false" ht="15" hidden="false" customHeight="false" outlineLevel="0" collapsed="false">
      <c r="A13" s="11" t="s">
        <v>92</v>
      </c>
      <c r="B13" s="7" t="s">
        <v>42</v>
      </c>
      <c r="C13" s="9" t="n">
        <v>3.4</v>
      </c>
      <c r="D13" s="9" t="n">
        <v>2.5</v>
      </c>
      <c r="E13" s="9" t="n">
        <v>2.6</v>
      </c>
      <c r="F13" s="9" t="n">
        <v>2.4</v>
      </c>
      <c r="G13" s="9" t="n">
        <v>1.6</v>
      </c>
      <c r="H13" s="9" t="n">
        <v>1.5</v>
      </c>
      <c r="I13" s="9" t="n">
        <v>3</v>
      </c>
      <c r="J13" s="9" t="n">
        <v>2.6</v>
      </c>
      <c r="K13" s="9" t="n">
        <v>2.6</v>
      </c>
      <c r="L13" s="9" t="n">
        <v>2</v>
      </c>
    </row>
    <row r="14" customFormat="false" ht="15" hidden="false" customHeight="false" outlineLevel="0" collapsed="false">
      <c r="A14" s="11" t="s">
        <v>94</v>
      </c>
      <c r="B14" s="7" t="s">
        <v>48</v>
      </c>
      <c r="C14" s="9" t="n">
        <v>4.4</v>
      </c>
      <c r="D14" s="9" t="n">
        <v>4.3</v>
      </c>
      <c r="E14" s="9" t="n">
        <v>3.9</v>
      </c>
      <c r="F14" s="9" t="n">
        <v>3</v>
      </c>
      <c r="G14" s="9" t="n">
        <v>1.4</v>
      </c>
      <c r="H14" s="9" t="n">
        <v>2.6</v>
      </c>
      <c r="I14" s="9" t="n">
        <v>3.4</v>
      </c>
      <c r="J14" s="9" t="n">
        <v>3</v>
      </c>
      <c r="K14" s="9" t="n">
        <v>3.6</v>
      </c>
      <c r="L14" s="9" t="n">
        <v>3.2</v>
      </c>
    </row>
    <row r="15" customFormat="false" ht="15" hidden="false" customHeight="false" outlineLevel="0" collapsed="false">
      <c r="A15" s="11" t="s">
        <v>96</v>
      </c>
      <c r="B15" s="7" t="s">
        <v>48</v>
      </c>
      <c r="C15" s="9" t="n">
        <v>4</v>
      </c>
      <c r="D15" s="9" t="n">
        <v>2.9</v>
      </c>
      <c r="E15" s="9" t="n">
        <v>3.2</v>
      </c>
      <c r="F15" s="9" t="n">
        <v>2.1</v>
      </c>
      <c r="G15" s="9" t="n">
        <v>1.2</v>
      </c>
      <c r="H15" s="9" t="n">
        <v>1.8</v>
      </c>
      <c r="I15" s="9" t="n">
        <v>3</v>
      </c>
      <c r="J15" s="9" t="n">
        <v>2.6</v>
      </c>
      <c r="K15" s="9" t="n">
        <v>3.2</v>
      </c>
      <c r="L15" s="9" t="n">
        <v>2.6</v>
      </c>
    </row>
    <row r="16" customFormat="false" ht="15" hidden="false" customHeight="false" outlineLevel="0" collapsed="false">
      <c r="A16" s="11" t="s">
        <v>98</v>
      </c>
      <c r="B16" s="7" t="s">
        <v>48</v>
      </c>
      <c r="C16" s="9" t="n">
        <v>3.8</v>
      </c>
      <c r="D16" s="9" t="n">
        <v>2.4</v>
      </c>
      <c r="E16" s="9" t="n">
        <v>2.8</v>
      </c>
      <c r="F16" s="9" t="n">
        <v>1.7</v>
      </c>
      <c r="G16" s="9" t="n">
        <v>1.1</v>
      </c>
      <c r="H16" s="9" t="n">
        <v>1.3</v>
      </c>
      <c r="I16" s="9" t="n">
        <v>3.2</v>
      </c>
      <c r="J16" s="9" t="n">
        <v>2.2</v>
      </c>
      <c r="K16" s="9" t="n">
        <v>3</v>
      </c>
      <c r="L16" s="9" t="n">
        <v>2.4</v>
      </c>
    </row>
    <row r="17" customFormat="false" ht="15" hidden="false" customHeight="false" outlineLevel="0" collapsed="false">
      <c r="A17" s="11" t="s">
        <v>100</v>
      </c>
      <c r="B17" s="7" t="s">
        <v>48</v>
      </c>
      <c r="C17" s="9" t="n">
        <v>3.9</v>
      </c>
      <c r="D17" s="9" t="n">
        <v>3</v>
      </c>
      <c r="E17" s="9" t="n">
        <v>3.4</v>
      </c>
      <c r="F17" s="9" t="n">
        <v>2</v>
      </c>
      <c r="G17" s="9" t="n">
        <v>1.6</v>
      </c>
      <c r="H17" s="9" t="n">
        <v>1.5</v>
      </c>
      <c r="I17" s="9" t="n">
        <v>3.4</v>
      </c>
      <c r="J17" s="9" t="n">
        <v>3.1</v>
      </c>
      <c r="K17" s="9" t="n">
        <v>3.8</v>
      </c>
      <c r="L17" s="9" t="n">
        <v>3.4</v>
      </c>
    </row>
    <row r="18" customFormat="false" ht="15" hidden="false" customHeight="false" outlineLevel="0" collapsed="false">
      <c r="A18" s="11" t="s">
        <v>102</v>
      </c>
      <c r="B18" s="7" t="s">
        <v>54</v>
      </c>
      <c r="C18" s="9" t="n">
        <v>4</v>
      </c>
      <c r="D18" s="9" t="n">
        <v>3.8</v>
      </c>
      <c r="E18" s="9" t="n">
        <v>2.2</v>
      </c>
      <c r="F18" s="9" t="n">
        <v>1.9</v>
      </c>
      <c r="G18" s="9" t="n">
        <v>1.5</v>
      </c>
      <c r="H18" s="9" t="n">
        <v>2.3</v>
      </c>
      <c r="I18" s="9" t="n">
        <v>3.2</v>
      </c>
      <c r="J18" s="9" t="n">
        <v>3.1</v>
      </c>
      <c r="K18" s="9" t="n">
        <v>2.6</v>
      </c>
      <c r="L18" s="9" t="n">
        <v>2.4</v>
      </c>
    </row>
    <row r="19" customFormat="false" ht="15" hidden="false" customHeight="false" outlineLevel="0" collapsed="false">
      <c r="A19" s="11" t="s">
        <v>104</v>
      </c>
      <c r="B19" s="7" t="s">
        <v>54</v>
      </c>
      <c r="C19" s="9" t="n">
        <v>3.6</v>
      </c>
      <c r="D19" s="9" t="n">
        <v>3</v>
      </c>
      <c r="E19" s="9" t="n">
        <v>2.8</v>
      </c>
      <c r="F19" s="9" t="n">
        <v>2.4</v>
      </c>
      <c r="G19" s="9" t="n">
        <v>1.7</v>
      </c>
      <c r="H19" s="9" t="n">
        <v>3.1</v>
      </c>
      <c r="I19" s="9" t="n">
        <v>2.8</v>
      </c>
      <c r="J19" s="9" t="n">
        <v>2.5</v>
      </c>
      <c r="K19" s="9" t="n">
        <v>2.2</v>
      </c>
      <c r="L19" s="9" t="n">
        <v>2.3</v>
      </c>
    </row>
    <row r="20" customFormat="false" ht="15" hidden="false" customHeight="false" outlineLevel="0" collapsed="false">
      <c r="A20" s="11" t="s">
        <v>106</v>
      </c>
      <c r="B20" s="7" t="s">
        <v>54</v>
      </c>
      <c r="C20" s="9" t="n">
        <v>3.2</v>
      </c>
      <c r="D20" s="9" t="n">
        <v>2.7</v>
      </c>
      <c r="E20" s="9" t="n">
        <v>1.8</v>
      </c>
      <c r="F20" s="9" t="n">
        <v>1.6</v>
      </c>
      <c r="G20" s="9" t="n">
        <v>1.3</v>
      </c>
      <c r="H20" s="9" t="n">
        <v>1.4</v>
      </c>
      <c r="I20" s="9" t="n">
        <v>2.4</v>
      </c>
      <c r="J20" s="9" t="n">
        <v>2.2</v>
      </c>
      <c r="K20" s="9" t="n">
        <v>2.4</v>
      </c>
      <c r="L20" s="9" t="n">
        <v>2</v>
      </c>
    </row>
    <row r="21" customFormat="false" ht="15" hidden="false" customHeight="false" outlineLevel="0" collapsed="false">
      <c r="A21" s="11" t="s">
        <v>108</v>
      </c>
      <c r="B21" s="7" t="s">
        <v>54</v>
      </c>
      <c r="C21" s="9" t="n">
        <v>3.6</v>
      </c>
      <c r="D21" s="9" t="n">
        <v>2.6</v>
      </c>
      <c r="E21" s="9" t="n">
        <v>1.6</v>
      </c>
      <c r="F21" s="9" t="n">
        <v>1.3</v>
      </c>
      <c r="G21" s="9" t="n">
        <v>1.6</v>
      </c>
      <c r="H21" s="9" t="n">
        <v>1.5</v>
      </c>
      <c r="I21" s="9" t="n">
        <v>2.6</v>
      </c>
      <c r="J21" s="9" t="n">
        <v>2</v>
      </c>
      <c r="K21" s="9" t="n">
        <v>2.8</v>
      </c>
      <c r="L21" s="9" t="n">
        <v>2.4</v>
      </c>
    </row>
    <row r="22" customFormat="false" ht="15" hidden="false" customHeight="false" outlineLevel="0" collapsed="false">
      <c r="A22" s="11" t="s">
        <v>110</v>
      </c>
      <c r="B22" s="7" t="s">
        <v>60</v>
      </c>
      <c r="C22" s="9" t="n">
        <v>3.8</v>
      </c>
      <c r="D22" s="9" t="n">
        <v>2.4</v>
      </c>
      <c r="E22" s="9" t="n">
        <v>2.4</v>
      </c>
      <c r="F22" s="9" t="n">
        <v>1.8</v>
      </c>
      <c r="G22" s="9" t="n">
        <v>1.8</v>
      </c>
      <c r="H22" s="9" t="n">
        <v>1.3</v>
      </c>
      <c r="I22" s="9" t="n">
        <v>4.4</v>
      </c>
      <c r="J22" s="9" t="n">
        <v>3.2</v>
      </c>
      <c r="K22" s="9" t="n">
        <v>3</v>
      </c>
      <c r="L22" s="9" t="n">
        <v>2.6</v>
      </c>
    </row>
    <row r="23" customFormat="false" ht="15" hidden="false" customHeight="false" outlineLevel="0" collapsed="false">
      <c r="A23" s="11" t="s">
        <v>112</v>
      </c>
      <c r="B23" s="7" t="s">
        <v>60</v>
      </c>
      <c r="C23" s="9" t="n">
        <v>3.5</v>
      </c>
      <c r="D23" s="9" t="n">
        <v>2</v>
      </c>
      <c r="E23" s="9" t="n">
        <v>2.2</v>
      </c>
      <c r="F23" s="9" t="n">
        <v>1.5</v>
      </c>
      <c r="G23" s="9" t="n">
        <v>1.4</v>
      </c>
      <c r="H23" s="9" t="n">
        <v>1.2</v>
      </c>
      <c r="I23" s="9" t="n">
        <v>4</v>
      </c>
      <c r="J23" s="9" t="n">
        <v>2.6</v>
      </c>
      <c r="K23" s="9" t="n">
        <v>2.6</v>
      </c>
      <c r="L23" s="9" t="n">
        <v>2</v>
      </c>
    </row>
    <row r="24" customFormat="false" ht="15" hidden="false" customHeight="false" outlineLevel="0" collapsed="false">
      <c r="A24" s="11" t="s">
        <v>114</v>
      </c>
      <c r="B24" s="7" t="s">
        <v>60</v>
      </c>
      <c r="C24" s="9" t="n">
        <v>3.6</v>
      </c>
      <c r="D24" s="9" t="n">
        <v>2.3</v>
      </c>
      <c r="E24" s="9" t="n">
        <v>2.6</v>
      </c>
      <c r="F24" s="9" t="n">
        <v>1.9</v>
      </c>
      <c r="G24" s="9" t="n">
        <v>1.5</v>
      </c>
      <c r="H24" s="9" t="n">
        <v>1.4</v>
      </c>
      <c r="I24" s="9" t="n">
        <v>4.2</v>
      </c>
      <c r="J24" s="9" t="n">
        <v>3</v>
      </c>
      <c r="K24" s="9" t="n">
        <v>2.8</v>
      </c>
      <c r="L24" s="9" t="n">
        <v>2.2</v>
      </c>
    </row>
    <row r="25" customFormat="false" ht="15" hidden="false" customHeight="false" outlineLevel="0" collapsed="false">
      <c r="A25" s="11" t="s">
        <v>116</v>
      </c>
      <c r="B25" s="7" t="s">
        <v>60</v>
      </c>
      <c r="C25" s="9" t="n">
        <v>3.4</v>
      </c>
      <c r="D25" s="9" t="n">
        <v>2.1</v>
      </c>
      <c r="E25" s="9" t="n">
        <v>2.3</v>
      </c>
      <c r="F25" s="9" t="n">
        <v>1.6</v>
      </c>
      <c r="G25" s="9" t="n">
        <v>1.3</v>
      </c>
      <c r="H25" s="9" t="n">
        <v>1.2</v>
      </c>
      <c r="I25" s="9" t="n">
        <v>4</v>
      </c>
      <c r="J25" s="9" t="n">
        <v>2.1</v>
      </c>
      <c r="K25" s="9" t="n">
        <v>2.6</v>
      </c>
      <c r="L25" s="9" t="n">
        <v>2.2</v>
      </c>
    </row>
    <row r="26" customFormat="false" ht="15" hidden="false" customHeight="false" outlineLevel="0" collapsed="false">
      <c r="B26" s="6" t="s">
        <v>145</v>
      </c>
      <c r="C26" s="18" t="n">
        <f aca="false">Participação!C5</f>
        <v>10</v>
      </c>
      <c r="D26" s="18" t="n">
        <f aca="false">Participação!F5</f>
        <v>60</v>
      </c>
      <c r="E26" s="18" t="n">
        <f aca="false">Participação!C6</f>
        <v>8</v>
      </c>
      <c r="F26" s="18" t="n">
        <f aca="false">Participação!F6</f>
        <v>31</v>
      </c>
      <c r="G26" s="18" t="n">
        <f aca="false">Participação!C7</f>
        <v>22</v>
      </c>
      <c r="H26" s="18" t="n">
        <f aca="false">Participação!F7</f>
        <v>27</v>
      </c>
      <c r="I26" s="18" t="n">
        <f aca="false">Participação!C8</f>
        <v>7</v>
      </c>
      <c r="J26" s="18" t="n">
        <f aca="false">Participação!F8</f>
        <v>33</v>
      </c>
      <c r="K26" s="18" t="n">
        <f aca="false">Participação!C9</f>
        <v>11</v>
      </c>
      <c r="L26" s="18" t="n">
        <f aca="false">Participação!F9</f>
        <v>38</v>
      </c>
    </row>
  </sheetData>
  <mergeCells count="5">
    <mergeCell ref="C4:D4"/>
    <mergeCell ref="E4:F4"/>
    <mergeCell ref="G4:H4"/>
    <mergeCell ref="I4:J4"/>
    <mergeCell ref="K4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4" t="s">
        <v>146</v>
      </c>
    </row>
    <row r="2" customFormat="false" ht="15" hidden="false" customHeight="false" outlineLevel="0" collapsed="false">
      <c r="A2" s="10" t="s">
        <v>147</v>
      </c>
    </row>
    <row r="4" customFormat="false" ht="15" hidden="false" customHeight="false" outlineLevel="0" collapsed="false">
      <c r="A4" s="8" t="s">
        <v>148</v>
      </c>
    </row>
    <row r="5" customFormat="false" ht="15" hidden="false" customHeight="false" outlineLevel="0" collapsed="false">
      <c r="A5" s="5" t="s">
        <v>125</v>
      </c>
      <c r="B5" s="5" t="s">
        <v>36</v>
      </c>
      <c r="C5" s="5" t="s">
        <v>42</v>
      </c>
      <c r="D5" s="5" t="s">
        <v>48</v>
      </c>
      <c r="E5" s="5" t="s">
        <v>54</v>
      </c>
      <c r="F5" s="5" t="s">
        <v>60</v>
      </c>
      <c r="G5" s="5" t="s">
        <v>149</v>
      </c>
    </row>
    <row r="6" customFormat="false" ht="15" hidden="false" customHeight="false" outlineLevel="0" collapsed="false">
      <c r="A6" s="7" t="s">
        <v>134</v>
      </c>
      <c r="B6" s="19" t="n">
        <f aca="false">AVERAGE(Respostas!C6:C9)</f>
        <v>3.15</v>
      </c>
      <c r="C6" s="19" t="n">
        <f aca="false">AVERAGE(Respostas!C10:C13)</f>
        <v>3.75</v>
      </c>
      <c r="D6" s="19" t="n">
        <f aca="false">AVERAGE(Respostas!C14:C17)</f>
        <v>4.025</v>
      </c>
      <c r="E6" s="19" t="n">
        <f aca="false">AVERAGE(Respostas!C18:C21)</f>
        <v>3.6</v>
      </c>
      <c r="F6" s="19" t="n">
        <f aca="false">AVERAGE(Respostas!C22:C25)</f>
        <v>3.575</v>
      </c>
      <c r="G6" s="20" t="n">
        <f aca="false">AVERAGE(B6:F6)</f>
        <v>3.62</v>
      </c>
    </row>
    <row r="7" customFormat="false" ht="15" hidden="false" customHeight="false" outlineLevel="0" collapsed="false">
      <c r="A7" s="7" t="s">
        <v>135</v>
      </c>
      <c r="B7" s="19" t="n">
        <f aca="false">AVERAGE(Respostas!E6:E9)</f>
        <v>2.45</v>
      </c>
      <c r="C7" s="19" t="n">
        <f aca="false">AVERAGE(Respostas!E10:E13)</f>
        <v>3.2</v>
      </c>
      <c r="D7" s="19" t="n">
        <f aca="false">AVERAGE(Respostas!E14:E17)</f>
        <v>3.325</v>
      </c>
      <c r="E7" s="19" t="n">
        <f aca="false">AVERAGE(Respostas!E18:E21)</f>
        <v>2.1</v>
      </c>
      <c r="F7" s="19" t="n">
        <f aca="false">AVERAGE(Respostas!E22:E25)</f>
        <v>2.375</v>
      </c>
      <c r="G7" s="20" t="n">
        <f aca="false">AVERAGE(B7:F7)</f>
        <v>2.69</v>
      </c>
    </row>
    <row r="8" customFormat="false" ht="15" hidden="false" customHeight="false" outlineLevel="0" collapsed="false">
      <c r="A8" s="7" t="s">
        <v>136</v>
      </c>
      <c r="B8" s="19" t="n">
        <f aca="false">AVERAGE(Respostas!G6:G9)</f>
        <v>1.375</v>
      </c>
      <c r="C8" s="19" t="n">
        <f aca="false">AVERAGE(Respostas!G10:G13)</f>
        <v>1.725</v>
      </c>
      <c r="D8" s="19" t="n">
        <f aca="false">AVERAGE(Respostas!G14:G17)</f>
        <v>1.325</v>
      </c>
      <c r="E8" s="19" t="n">
        <f aca="false">AVERAGE(Respostas!G18:G21)</f>
        <v>1.525</v>
      </c>
      <c r="F8" s="19" t="n">
        <f aca="false">AVERAGE(Respostas!G22:G25)</f>
        <v>1.5</v>
      </c>
      <c r="G8" s="20" t="n">
        <f aca="false">AVERAGE(B8:F8)</f>
        <v>1.49</v>
      </c>
    </row>
    <row r="9" customFormat="false" ht="15" hidden="false" customHeight="false" outlineLevel="0" collapsed="false">
      <c r="A9" s="7" t="s">
        <v>137</v>
      </c>
      <c r="B9" s="19" t="n">
        <f aca="false">AVERAGE(Respostas!I6:I9)</f>
        <v>3.225</v>
      </c>
      <c r="C9" s="19" t="n">
        <f aca="false">AVERAGE(Respostas!I10:I13)</f>
        <v>3.6</v>
      </c>
      <c r="D9" s="19" t="n">
        <f aca="false">AVERAGE(Respostas!I14:I17)</f>
        <v>3.25</v>
      </c>
      <c r="E9" s="19" t="n">
        <f aca="false">AVERAGE(Respostas!I18:I21)</f>
        <v>2.75</v>
      </c>
      <c r="F9" s="19" t="n">
        <f aca="false">AVERAGE(Respostas!I22:I25)</f>
        <v>4.15</v>
      </c>
      <c r="G9" s="20" t="n">
        <f aca="false">AVERAGE(B9:F9)</f>
        <v>3.395</v>
      </c>
    </row>
    <row r="10" customFormat="false" ht="15" hidden="false" customHeight="false" outlineLevel="0" collapsed="false">
      <c r="A10" s="7" t="s">
        <v>138</v>
      </c>
      <c r="B10" s="19" t="n">
        <f aca="false">AVERAGE(Respostas!K6:K9)</f>
        <v>2.25</v>
      </c>
      <c r="C10" s="19" t="n">
        <f aca="false">AVERAGE(Respostas!K10:K13)</f>
        <v>2.5</v>
      </c>
      <c r="D10" s="19" t="n">
        <f aca="false">AVERAGE(Respostas!K14:K17)</f>
        <v>3.4</v>
      </c>
      <c r="E10" s="19" t="n">
        <f aca="false">AVERAGE(Respostas!K18:K21)</f>
        <v>2.5</v>
      </c>
      <c r="F10" s="19" t="n">
        <f aca="false">AVERAGE(Respostas!K22:K25)</f>
        <v>2.75</v>
      </c>
      <c r="G10" s="20" t="n">
        <f aca="false">AVERAGE(B10:F10)</f>
        <v>2.68</v>
      </c>
    </row>
    <row r="12" customFormat="false" ht="15" hidden="false" customHeight="false" outlineLevel="0" collapsed="false">
      <c r="A12" s="8" t="s">
        <v>150</v>
      </c>
    </row>
    <row r="13" customFormat="false" ht="15" hidden="false" customHeight="false" outlineLevel="0" collapsed="false">
      <c r="A13" s="5" t="s">
        <v>125</v>
      </c>
      <c r="B13" s="5" t="s">
        <v>36</v>
      </c>
      <c r="C13" s="5" t="s">
        <v>42</v>
      </c>
      <c r="D13" s="5" t="s">
        <v>48</v>
      </c>
      <c r="E13" s="5" t="s">
        <v>54</v>
      </c>
      <c r="F13" s="5" t="s">
        <v>60</v>
      </c>
      <c r="G13" s="5" t="s">
        <v>149</v>
      </c>
    </row>
    <row r="14" customFormat="false" ht="15" hidden="false" customHeight="false" outlineLevel="0" collapsed="false">
      <c r="A14" s="7" t="s">
        <v>134</v>
      </c>
      <c r="B14" s="19" t="n">
        <f aca="false">AVERAGE(Respostas!D6:D9)</f>
        <v>2.525</v>
      </c>
      <c r="C14" s="19" t="n">
        <f aca="false">AVERAGE(Respostas!D10:D13)</f>
        <v>3.075</v>
      </c>
      <c r="D14" s="19" t="n">
        <f aca="false">AVERAGE(Respostas!D14:D17)</f>
        <v>3.15</v>
      </c>
      <c r="E14" s="19" t="n">
        <f aca="false">AVERAGE(Respostas!D18:D21)</f>
        <v>3.025</v>
      </c>
      <c r="F14" s="19" t="n">
        <f aca="false">AVERAGE(Respostas!D22:D25)</f>
        <v>2.2</v>
      </c>
      <c r="G14" s="20" t="n">
        <f aca="false">AVERAGE(B14:F14)</f>
        <v>2.795</v>
      </c>
    </row>
    <row r="15" customFormat="false" ht="15" hidden="false" customHeight="false" outlineLevel="0" collapsed="false">
      <c r="A15" s="7" t="s">
        <v>135</v>
      </c>
      <c r="B15" s="19" t="n">
        <f aca="false">AVERAGE(Respostas!F6:F9)</f>
        <v>1.95</v>
      </c>
      <c r="C15" s="19" t="n">
        <f aca="false">AVERAGE(Respostas!F10:F13)</f>
        <v>3</v>
      </c>
      <c r="D15" s="19" t="n">
        <f aca="false">AVERAGE(Respostas!F14:F17)</f>
        <v>2.2</v>
      </c>
      <c r="E15" s="19" t="n">
        <f aca="false">AVERAGE(Respostas!F18:F21)</f>
        <v>1.8</v>
      </c>
      <c r="F15" s="19" t="n">
        <f aca="false">AVERAGE(Respostas!F22:F25)</f>
        <v>1.7</v>
      </c>
      <c r="G15" s="20" t="n">
        <f aca="false">AVERAGE(B15:F15)</f>
        <v>2.13</v>
      </c>
    </row>
    <row r="16" customFormat="false" ht="15" hidden="false" customHeight="false" outlineLevel="0" collapsed="false">
      <c r="A16" s="7" t="s">
        <v>136</v>
      </c>
      <c r="B16" s="19" t="n">
        <f aca="false">AVERAGE(Respostas!H6:H9)</f>
        <v>1.525</v>
      </c>
      <c r="C16" s="19" t="n">
        <f aca="false">AVERAGE(Respostas!H10:H13)</f>
        <v>1.575</v>
      </c>
      <c r="D16" s="19" t="n">
        <f aca="false">AVERAGE(Respostas!H14:H17)</f>
        <v>1.8</v>
      </c>
      <c r="E16" s="19" t="n">
        <f aca="false">AVERAGE(Respostas!H18:H21)</f>
        <v>2.075</v>
      </c>
      <c r="F16" s="19" t="n">
        <f aca="false">AVERAGE(Respostas!H22:H25)</f>
        <v>1.275</v>
      </c>
      <c r="G16" s="20" t="n">
        <f aca="false">AVERAGE(B16:F16)</f>
        <v>1.65</v>
      </c>
    </row>
    <row r="17" customFormat="false" ht="15" hidden="false" customHeight="false" outlineLevel="0" collapsed="false">
      <c r="A17" s="7" t="s">
        <v>137</v>
      </c>
      <c r="B17" s="19" t="n">
        <f aca="false">AVERAGE(Respostas!J6:J9)</f>
        <v>2.75</v>
      </c>
      <c r="C17" s="19" t="n">
        <f aca="false">AVERAGE(Respostas!J10:J13)</f>
        <v>3.225</v>
      </c>
      <c r="D17" s="19" t="n">
        <f aca="false">AVERAGE(Respostas!J14:J17)</f>
        <v>2.725</v>
      </c>
      <c r="E17" s="19" t="n">
        <f aca="false">AVERAGE(Respostas!J18:J21)</f>
        <v>2.45</v>
      </c>
      <c r="F17" s="19" t="n">
        <f aca="false">AVERAGE(Respostas!J22:J25)</f>
        <v>2.725</v>
      </c>
      <c r="G17" s="20" t="n">
        <f aca="false">AVERAGE(B17:F17)</f>
        <v>2.775</v>
      </c>
    </row>
    <row r="18" customFormat="false" ht="15" hidden="false" customHeight="false" outlineLevel="0" collapsed="false">
      <c r="A18" s="7" t="s">
        <v>138</v>
      </c>
      <c r="B18" s="19" t="n">
        <f aca="false">AVERAGE(Respostas!L6:L9)</f>
        <v>1.775</v>
      </c>
      <c r="C18" s="19" t="n">
        <f aca="false">AVERAGE(Respostas!L10:L13)</f>
        <v>2.175</v>
      </c>
      <c r="D18" s="19" t="n">
        <f aca="false">AVERAGE(Respostas!L14:L17)</f>
        <v>2.9</v>
      </c>
      <c r="E18" s="19" t="n">
        <f aca="false">AVERAGE(Respostas!L18:L21)</f>
        <v>2.275</v>
      </c>
      <c r="F18" s="19" t="n">
        <f aca="false">AVERAGE(Respostas!L22:L25)</f>
        <v>2.25</v>
      </c>
      <c r="G18" s="20" t="n">
        <f aca="false">AVERAGE(B18:F18)</f>
        <v>2.275</v>
      </c>
    </row>
    <row r="20" customFormat="false" ht="15" hidden="false" customHeight="false" outlineLevel="0" collapsed="false">
      <c r="A20" s="8" t="s">
        <v>151</v>
      </c>
    </row>
    <row r="21" customFormat="false" ht="15" hidden="false" customHeight="false" outlineLevel="0" collapsed="false">
      <c r="A21" s="5" t="s">
        <v>125</v>
      </c>
      <c r="B21" s="5" t="s">
        <v>36</v>
      </c>
      <c r="C21" s="5" t="s">
        <v>42</v>
      </c>
      <c r="D21" s="5" t="s">
        <v>48</v>
      </c>
      <c r="E21" s="5" t="s">
        <v>54</v>
      </c>
      <c r="F21" s="5" t="s">
        <v>60</v>
      </c>
      <c r="G21" s="5" t="s">
        <v>149</v>
      </c>
    </row>
    <row r="22" customFormat="false" ht="15" hidden="false" customHeight="false" outlineLevel="0" collapsed="false">
      <c r="A22" s="7" t="s">
        <v>134</v>
      </c>
      <c r="B22" s="21" t="n">
        <f aca="false">B6-B14</f>
        <v>0.625</v>
      </c>
      <c r="C22" s="21" t="n">
        <f aca="false">C6-C14</f>
        <v>0.675</v>
      </c>
      <c r="D22" s="21" t="n">
        <f aca="false">D6-D14</f>
        <v>0.875</v>
      </c>
      <c r="E22" s="21" t="n">
        <f aca="false">E6-E14</f>
        <v>0.575</v>
      </c>
      <c r="F22" s="21" t="n">
        <f aca="false">F6-F14</f>
        <v>1.375</v>
      </c>
      <c r="G22" s="22" t="n">
        <f aca="false">G6-G14</f>
        <v>0.825</v>
      </c>
    </row>
    <row r="23" customFormat="false" ht="15" hidden="false" customHeight="false" outlineLevel="0" collapsed="false">
      <c r="A23" s="7" t="s">
        <v>135</v>
      </c>
      <c r="B23" s="21" t="n">
        <f aca="false">B7-B15</f>
        <v>0.5</v>
      </c>
      <c r="C23" s="21" t="n">
        <f aca="false">C7-C15</f>
        <v>0.2</v>
      </c>
      <c r="D23" s="21" t="n">
        <f aca="false">D7-D15</f>
        <v>1.125</v>
      </c>
      <c r="E23" s="21" t="n">
        <f aca="false">E7-E15</f>
        <v>0.3</v>
      </c>
      <c r="F23" s="21" t="n">
        <f aca="false">F7-F15</f>
        <v>0.675</v>
      </c>
      <c r="G23" s="22" t="n">
        <f aca="false">G7-G15</f>
        <v>0.560000000000001</v>
      </c>
    </row>
    <row r="24" customFormat="false" ht="15" hidden="false" customHeight="false" outlineLevel="0" collapsed="false">
      <c r="A24" s="7" t="s">
        <v>136</v>
      </c>
      <c r="B24" s="21" t="n">
        <f aca="false">B8-B16</f>
        <v>-0.15</v>
      </c>
      <c r="C24" s="21" t="n">
        <f aca="false">C8-C16</f>
        <v>0.15</v>
      </c>
      <c r="D24" s="21" t="n">
        <f aca="false">D8-D16</f>
        <v>-0.475</v>
      </c>
      <c r="E24" s="21" t="n">
        <f aca="false">E8-E16</f>
        <v>-0.55</v>
      </c>
      <c r="F24" s="21" t="n">
        <f aca="false">F8-F16</f>
        <v>0.225</v>
      </c>
      <c r="G24" s="22" t="n">
        <f aca="false">G8-G16</f>
        <v>-0.16</v>
      </c>
    </row>
    <row r="25" customFormat="false" ht="15" hidden="false" customHeight="false" outlineLevel="0" collapsed="false">
      <c r="A25" s="7" t="s">
        <v>137</v>
      </c>
      <c r="B25" s="21" t="n">
        <f aca="false">B9-B17</f>
        <v>0.475</v>
      </c>
      <c r="C25" s="21" t="n">
        <f aca="false">C9-C17</f>
        <v>0.375</v>
      </c>
      <c r="D25" s="21" t="n">
        <f aca="false">D9-D17</f>
        <v>0.525</v>
      </c>
      <c r="E25" s="21" t="n">
        <f aca="false">E9-E17</f>
        <v>0.3</v>
      </c>
      <c r="F25" s="21" t="n">
        <f aca="false">F9-F17</f>
        <v>1.425</v>
      </c>
      <c r="G25" s="22" t="n">
        <f aca="false">G9-G17</f>
        <v>0.620000000000001</v>
      </c>
    </row>
    <row r="26" customFormat="false" ht="15" hidden="false" customHeight="false" outlineLevel="0" collapsed="false">
      <c r="A26" s="7" t="s">
        <v>138</v>
      </c>
      <c r="B26" s="21" t="n">
        <f aca="false">B10-B18</f>
        <v>0.475</v>
      </c>
      <c r="C26" s="21" t="n">
        <f aca="false">C10-C18</f>
        <v>0.325</v>
      </c>
      <c r="D26" s="21" t="n">
        <f aca="false">D10-D18</f>
        <v>0.5</v>
      </c>
      <c r="E26" s="21" t="n">
        <f aca="false">E10-E18</f>
        <v>0.225</v>
      </c>
      <c r="F26" s="21" t="n">
        <f aca="false">F10-F18</f>
        <v>0.5</v>
      </c>
      <c r="G26" s="22" t="n">
        <f aca="false">G10-G18</f>
        <v>0.405</v>
      </c>
    </row>
    <row r="28" customFormat="false" ht="15" hidden="false" customHeight="false" outlineLevel="0" collapsed="false">
      <c r="A28" s="8" t="s">
        <v>152</v>
      </c>
    </row>
    <row r="29" customFormat="false" ht="15" hidden="false" customHeight="false" outlineLevel="0" collapsed="false">
      <c r="A29" s="5" t="s">
        <v>125</v>
      </c>
      <c r="B29" s="5" t="s">
        <v>36</v>
      </c>
      <c r="C29" s="5" t="s">
        <v>42</v>
      </c>
      <c r="D29" s="5" t="s">
        <v>48</v>
      </c>
      <c r="E29" s="5" t="s">
        <v>54</v>
      </c>
      <c r="F29" s="5" t="s">
        <v>60</v>
      </c>
    </row>
    <row r="30" customFormat="false" ht="15" hidden="false" customHeight="false" outlineLevel="0" collapsed="false">
      <c r="A30" s="7" t="s">
        <v>134</v>
      </c>
      <c r="B30" s="19" t="n">
        <f aca="false">AVERAGE(B6,B14)</f>
        <v>2.8375</v>
      </c>
      <c r="C30" s="19" t="n">
        <f aca="false">AVERAGE(C6,C14)</f>
        <v>3.4125</v>
      </c>
      <c r="D30" s="19" t="n">
        <f aca="false">AVERAGE(D6,D14)</f>
        <v>3.5875</v>
      </c>
      <c r="E30" s="19" t="n">
        <f aca="false">AVERAGE(E6,E14)</f>
        <v>3.3125</v>
      </c>
      <c r="F30" s="19" t="n">
        <f aca="false">AVERAGE(F6,F14)</f>
        <v>2.8875</v>
      </c>
    </row>
    <row r="31" customFormat="false" ht="15" hidden="false" customHeight="false" outlineLevel="0" collapsed="false">
      <c r="A31" s="7" t="s">
        <v>135</v>
      </c>
      <c r="B31" s="19" t="n">
        <f aca="false">AVERAGE(B7,B15)</f>
        <v>2.2</v>
      </c>
      <c r="C31" s="19" t="n">
        <f aca="false">AVERAGE(C7,C15)</f>
        <v>3.1</v>
      </c>
      <c r="D31" s="19" t="n">
        <f aca="false">AVERAGE(D7,D15)</f>
        <v>2.7625</v>
      </c>
      <c r="E31" s="19" t="n">
        <f aca="false">AVERAGE(E7,E15)</f>
        <v>1.95</v>
      </c>
      <c r="F31" s="19" t="n">
        <f aca="false">AVERAGE(F7,F15)</f>
        <v>2.0375</v>
      </c>
    </row>
    <row r="32" customFormat="false" ht="15" hidden="false" customHeight="false" outlineLevel="0" collapsed="false">
      <c r="A32" s="7" t="s">
        <v>136</v>
      </c>
      <c r="B32" s="19" t="n">
        <f aca="false">AVERAGE(B8,B16)</f>
        <v>1.45</v>
      </c>
      <c r="C32" s="19" t="n">
        <f aca="false">AVERAGE(C8,C16)</f>
        <v>1.65</v>
      </c>
      <c r="D32" s="19" t="n">
        <f aca="false">AVERAGE(D8,D16)</f>
        <v>1.5625</v>
      </c>
      <c r="E32" s="19" t="n">
        <f aca="false">AVERAGE(E8,E16)</f>
        <v>1.8</v>
      </c>
      <c r="F32" s="19" t="n">
        <f aca="false">AVERAGE(F8,F16)</f>
        <v>1.3875</v>
      </c>
    </row>
    <row r="33" customFormat="false" ht="15" hidden="false" customHeight="false" outlineLevel="0" collapsed="false">
      <c r="A33" s="7" t="s">
        <v>137</v>
      </c>
      <c r="B33" s="19" t="n">
        <f aca="false">AVERAGE(B9,B17)</f>
        <v>2.9875</v>
      </c>
      <c r="C33" s="19" t="n">
        <f aca="false">AVERAGE(C9,C17)</f>
        <v>3.4125</v>
      </c>
      <c r="D33" s="19" t="n">
        <f aca="false">AVERAGE(D9,D17)</f>
        <v>2.9875</v>
      </c>
      <c r="E33" s="19" t="n">
        <f aca="false">AVERAGE(E9,E17)</f>
        <v>2.6</v>
      </c>
      <c r="F33" s="19" t="n">
        <f aca="false">AVERAGE(F9,F17)</f>
        <v>3.4375</v>
      </c>
    </row>
    <row r="34" customFormat="false" ht="15" hidden="false" customHeight="false" outlineLevel="0" collapsed="false">
      <c r="A34" s="7" t="s">
        <v>138</v>
      </c>
      <c r="B34" s="19" t="n">
        <f aca="false">AVERAGE(B10,B18)</f>
        <v>2.0125</v>
      </c>
      <c r="C34" s="19" t="n">
        <f aca="false">AVERAGE(C10,C18)</f>
        <v>2.3375</v>
      </c>
      <c r="D34" s="19" t="n">
        <f aca="false">AVERAGE(D10,D18)</f>
        <v>3.15</v>
      </c>
      <c r="E34" s="19" t="n">
        <f aca="false">AVERAGE(E10,E18)</f>
        <v>2.3875</v>
      </c>
      <c r="F34" s="19" t="n">
        <f aca="false">AVERAGE(F10,F18)</f>
        <v>2.5</v>
      </c>
    </row>
    <row r="36" customFormat="false" ht="15" hidden="false" customHeight="false" outlineLevel="0" collapsed="false">
      <c r="A36" s="8" t="s">
        <v>153</v>
      </c>
    </row>
    <row r="37" customFormat="false" ht="15" hidden="false" customHeight="false" outlineLevel="0" collapsed="false">
      <c r="A37" s="5" t="s">
        <v>125</v>
      </c>
      <c r="B37" s="5" t="s">
        <v>36</v>
      </c>
      <c r="C37" s="5" t="s">
        <v>42</v>
      </c>
      <c r="D37" s="5" t="s">
        <v>48</v>
      </c>
      <c r="E37" s="5" t="s">
        <v>54</v>
      </c>
      <c r="F37" s="5" t="s">
        <v>60</v>
      </c>
    </row>
    <row r="38" customFormat="false" ht="15" hidden="false" customHeight="false" outlineLevel="0" collapsed="false">
      <c r="A38" s="7" t="s">
        <v>134</v>
      </c>
      <c r="B38" s="11" t="str">
        <f aca="false">LOOKUP(ROUND(B30,1),Escala!$A$13:$A$17,Escala!$B$13:$B$17)</f>
        <v>Experimentação</v>
      </c>
      <c r="C38" s="11" t="str">
        <f aca="false">LOOKUP(ROUND(C30,1),Escala!$A$13:$A$17,Escala!$B$13:$B$17)</f>
        <v>Formalização</v>
      </c>
      <c r="D38" s="11" t="str">
        <f aca="false">LOOKUP(ROUND(D30,1),Escala!$A$13:$A$17,Escala!$B$13:$B$17)</f>
        <v>Formalização</v>
      </c>
      <c r="E38" s="11" t="str">
        <f aca="false">LOOKUP(ROUND(E30,1),Escala!$A$13:$A$17,Escala!$B$13:$B$17)</f>
        <v>Formalização</v>
      </c>
      <c r="F38" s="11" t="str">
        <f aca="false">LOOKUP(ROUND(F30,1),Escala!$A$13:$A$17,Escala!$B$13:$B$17)</f>
        <v>Experimentação</v>
      </c>
    </row>
    <row r="39" customFormat="false" ht="15" hidden="false" customHeight="false" outlineLevel="0" collapsed="false">
      <c r="A39" s="7" t="s">
        <v>135</v>
      </c>
      <c r="B39" s="11" t="str">
        <f aca="false">LOOKUP(ROUND(B31,1),Escala!$A$13:$A$17,Escala!$B$13:$B$17)</f>
        <v>Experimentação</v>
      </c>
      <c r="C39" s="11" t="str">
        <f aca="false">LOOKUP(ROUND(C31,1),Escala!$A$13:$A$17,Escala!$B$13:$B$17)</f>
        <v>Formalização</v>
      </c>
      <c r="D39" s="11" t="str">
        <f aca="false">LOOKUP(ROUND(D31,1),Escala!$A$13:$A$17,Escala!$B$13:$B$17)</f>
        <v>Experimentação</v>
      </c>
      <c r="E39" s="11" t="str">
        <f aca="false">LOOKUP(ROUND(E31,1),Escala!$A$13:$A$17,Escala!$B$13:$B$17)</f>
        <v>Experimentação</v>
      </c>
      <c r="F39" s="11" t="str">
        <f aca="false">LOOKUP(ROUND(F31,1),Escala!$A$13:$A$17,Escala!$B$13:$B$17)</f>
        <v>Experimentação</v>
      </c>
    </row>
    <row r="40" customFormat="false" ht="15" hidden="false" customHeight="false" outlineLevel="0" collapsed="false">
      <c r="A40" s="7" t="s">
        <v>136</v>
      </c>
      <c r="B40" s="11" t="str">
        <f aca="false">LOOKUP(ROUND(B32,1),Escala!$A$13:$A$17,Escala!$B$13:$B$17)</f>
        <v>Exploração</v>
      </c>
      <c r="C40" s="11" t="str">
        <f aca="false">LOOKUP(ROUND(C32,1),Escala!$A$13:$A$17,Escala!$B$13:$B$17)</f>
        <v>Exploração</v>
      </c>
      <c r="D40" s="11" t="str">
        <f aca="false">LOOKUP(ROUND(D32,1),Escala!$A$13:$A$17,Escala!$B$13:$B$17)</f>
        <v>Exploração</v>
      </c>
      <c r="E40" s="11" t="str">
        <f aca="false">LOOKUP(ROUND(E32,1),Escala!$A$13:$A$17,Escala!$B$13:$B$17)</f>
        <v>Exploração</v>
      </c>
      <c r="F40" s="11" t="str">
        <f aca="false">LOOKUP(ROUND(F32,1),Escala!$A$13:$A$17,Escala!$B$13:$B$17)</f>
        <v>Exploração</v>
      </c>
    </row>
    <row r="41" customFormat="false" ht="15" hidden="false" customHeight="false" outlineLevel="0" collapsed="false">
      <c r="A41" s="7" t="s">
        <v>137</v>
      </c>
      <c r="B41" s="11" t="str">
        <f aca="false">LOOKUP(ROUND(B33,1),Escala!$A$13:$A$17,Escala!$B$13:$B$17)</f>
        <v>Formalização</v>
      </c>
      <c r="C41" s="11" t="str">
        <f aca="false">LOOKUP(ROUND(C33,1),Escala!$A$13:$A$17,Escala!$B$13:$B$17)</f>
        <v>Formalização</v>
      </c>
      <c r="D41" s="11" t="str">
        <f aca="false">LOOKUP(ROUND(D33,1),Escala!$A$13:$A$17,Escala!$B$13:$B$17)</f>
        <v>Formalização</v>
      </c>
      <c r="E41" s="11" t="str">
        <f aca="false">LOOKUP(ROUND(E33,1),Escala!$A$13:$A$17,Escala!$B$13:$B$17)</f>
        <v>Experimentação</v>
      </c>
      <c r="F41" s="11" t="str">
        <f aca="false">LOOKUP(ROUND(F33,1),Escala!$A$13:$A$17,Escala!$B$13:$B$17)</f>
        <v>Formalização</v>
      </c>
    </row>
    <row r="42" customFormat="false" ht="15" hidden="false" customHeight="false" outlineLevel="0" collapsed="false">
      <c r="A42" s="7" t="s">
        <v>138</v>
      </c>
      <c r="B42" s="11" t="str">
        <f aca="false">LOOKUP(ROUND(B34,1),Escala!$A$13:$A$17,Escala!$B$13:$B$17)</f>
        <v>Experimentação</v>
      </c>
      <c r="C42" s="11" t="str">
        <f aca="false">LOOKUP(ROUND(C34,1),Escala!$A$13:$A$17,Escala!$B$13:$B$17)</f>
        <v>Experimentação</v>
      </c>
      <c r="D42" s="11" t="str">
        <f aca="false">LOOKUP(ROUND(D34,1),Escala!$A$13:$A$17,Escala!$B$13:$B$17)</f>
        <v>Formalização</v>
      </c>
      <c r="E42" s="11" t="str">
        <f aca="false">LOOKUP(ROUND(E34,1),Escala!$A$13:$A$17,Escala!$B$13:$B$17)</f>
        <v>Experimentação</v>
      </c>
      <c r="F42" s="11" t="str">
        <f aca="false">LOOKUP(ROUND(F34,1),Escala!$A$13:$A$17,Escala!$B$13:$B$17)</f>
        <v>Experimentação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11" min="3" style="0" width="11"/>
  </cols>
  <sheetData>
    <row r="1" customFormat="false" ht="15" hidden="false" customHeight="false" outlineLevel="0" collapsed="false">
      <c r="A1" s="4" t="s">
        <v>154</v>
      </c>
    </row>
    <row r="2" customFormat="false" ht="15" hidden="false" customHeight="false" outlineLevel="0" collapsed="false">
      <c r="A2" s="10" t="s">
        <v>155</v>
      </c>
    </row>
    <row r="4" customFormat="false" ht="15" hidden="false" customHeight="false" outlineLevel="0" collapsed="false">
      <c r="A4" s="12" t="s">
        <v>156</v>
      </c>
    </row>
    <row r="5" customFormat="false" ht="15" hidden="false" customHeight="false" outlineLevel="0" collapsed="false">
      <c r="A5" s="12" t="s">
        <v>157</v>
      </c>
    </row>
    <row r="6" customFormat="false" ht="15" hidden="false" customHeight="false" outlineLevel="0" collapsed="false">
      <c r="A6" s="12" t="s">
        <v>158</v>
      </c>
    </row>
    <row r="7" customFormat="false" ht="15" hidden="false" customHeight="false" outlineLevel="0" collapsed="false">
      <c r="A7" s="12" t="s">
        <v>159</v>
      </c>
    </row>
    <row r="9" customFormat="false" ht="23.85" hidden="false" customHeight="false" outlineLevel="0" collapsed="false">
      <c r="A9" s="5" t="s">
        <v>125</v>
      </c>
      <c r="B9" s="5" t="s">
        <v>160</v>
      </c>
      <c r="C9" s="5" t="s">
        <v>145</v>
      </c>
      <c r="D9" s="5" t="s">
        <v>161</v>
      </c>
      <c r="E9" s="5" t="s">
        <v>162</v>
      </c>
      <c r="F9" s="5" t="s">
        <v>163</v>
      </c>
      <c r="G9" s="5" t="s">
        <v>164</v>
      </c>
      <c r="H9" s="5" t="s">
        <v>165</v>
      </c>
      <c r="I9" s="5" t="s">
        <v>166</v>
      </c>
      <c r="J9" s="5" t="s">
        <v>167</v>
      </c>
      <c r="K9" s="5" t="s">
        <v>168</v>
      </c>
    </row>
    <row r="10" customFormat="false" ht="15" hidden="false" customHeight="false" outlineLevel="0" collapsed="false">
      <c r="A10" s="7" t="s">
        <v>134</v>
      </c>
      <c r="B10" s="7" t="s">
        <v>143</v>
      </c>
      <c r="C10" s="18" t="n">
        <f aca="false">SUM(D10:G10)</f>
        <v>10</v>
      </c>
      <c r="D10" s="23" t="n">
        <v>1</v>
      </c>
      <c r="E10" s="23" t="n">
        <v>3</v>
      </c>
      <c r="F10" s="23" t="n">
        <v>6</v>
      </c>
      <c r="G10" s="23" t="n">
        <v>0</v>
      </c>
      <c r="H10" s="24" t="n">
        <f aca="false">IF($C10=0,0,D10/$C10)</f>
        <v>0.1</v>
      </c>
      <c r="I10" s="24" t="n">
        <f aca="false">IF($C10=0,0,E10/$C10)</f>
        <v>0.3</v>
      </c>
      <c r="J10" s="24" t="n">
        <f aca="false">IF($C10=0,0,F10/$C10)</f>
        <v>0.6</v>
      </c>
      <c r="K10" s="24" t="n">
        <f aca="false">IF($C10=0,0,G10/$C10)</f>
        <v>0</v>
      </c>
    </row>
    <row r="11" customFormat="false" ht="15" hidden="false" customHeight="false" outlineLevel="0" collapsed="false">
      <c r="A11" s="7" t="s">
        <v>134</v>
      </c>
      <c r="B11" s="7" t="s">
        <v>144</v>
      </c>
      <c r="C11" s="18" t="n">
        <f aca="false">SUM(D11:G11)</f>
        <v>60</v>
      </c>
      <c r="D11" s="23" t="n">
        <v>6</v>
      </c>
      <c r="E11" s="23" t="n">
        <v>24</v>
      </c>
      <c r="F11" s="23" t="n">
        <v>27</v>
      </c>
      <c r="G11" s="23" t="n">
        <v>3</v>
      </c>
      <c r="H11" s="24" t="n">
        <f aca="false">IF($C11=0,0,D11/$C11)</f>
        <v>0.1</v>
      </c>
      <c r="I11" s="24" t="n">
        <f aca="false">IF($C11=0,0,E11/$C11)</f>
        <v>0.4</v>
      </c>
      <c r="J11" s="24" t="n">
        <f aca="false">IF($C11=0,0,F11/$C11)</f>
        <v>0.45</v>
      </c>
      <c r="K11" s="24" t="n">
        <f aca="false">IF($C11=0,0,G11/$C11)</f>
        <v>0.05</v>
      </c>
    </row>
    <row r="12" customFormat="false" ht="15" hidden="false" customHeight="false" outlineLevel="0" collapsed="false">
      <c r="A12" s="7" t="s">
        <v>135</v>
      </c>
      <c r="B12" s="7" t="s">
        <v>143</v>
      </c>
      <c r="C12" s="18" t="n">
        <f aca="false">SUM(D12:G12)</f>
        <v>8</v>
      </c>
      <c r="D12" s="23" t="n">
        <v>2</v>
      </c>
      <c r="E12" s="23" t="n">
        <v>5</v>
      </c>
      <c r="F12" s="23" t="n">
        <v>1</v>
      </c>
      <c r="G12" s="23" t="n">
        <v>0</v>
      </c>
      <c r="H12" s="24" t="n">
        <f aca="false">IF($C12=0,0,D12/$C12)</f>
        <v>0.25</v>
      </c>
      <c r="I12" s="24" t="n">
        <f aca="false">IF($C12=0,0,E12/$C12)</f>
        <v>0.625</v>
      </c>
      <c r="J12" s="24" t="n">
        <f aca="false">IF($C12=0,0,F12/$C12)</f>
        <v>0.125</v>
      </c>
      <c r="K12" s="24" t="n">
        <f aca="false">IF($C12=0,0,G12/$C12)</f>
        <v>0</v>
      </c>
    </row>
    <row r="13" customFormat="false" ht="15" hidden="false" customHeight="false" outlineLevel="0" collapsed="false">
      <c r="A13" s="7" t="s">
        <v>135</v>
      </c>
      <c r="B13" s="7" t="s">
        <v>144</v>
      </c>
      <c r="C13" s="18" t="n">
        <f aca="false">SUM(D13:G13)</f>
        <v>31</v>
      </c>
      <c r="D13" s="23" t="n">
        <v>5</v>
      </c>
      <c r="E13" s="23" t="n">
        <v>14</v>
      </c>
      <c r="F13" s="23" t="n">
        <v>4</v>
      </c>
      <c r="G13" s="23" t="n">
        <v>8</v>
      </c>
      <c r="H13" s="24" t="n">
        <f aca="false">IF($C13=0,0,D13/$C13)</f>
        <v>0.161290322580645</v>
      </c>
      <c r="I13" s="24" t="n">
        <f aca="false">IF($C13=0,0,E13/$C13)</f>
        <v>0.451612903225806</v>
      </c>
      <c r="J13" s="24" t="n">
        <f aca="false">IF($C13=0,0,F13/$C13)</f>
        <v>0.129032258064516</v>
      </c>
      <c r="K13" s="24" t="n">
        <f aca="false">IF($C13=0,0,G13/$C13)</f>
        <v>0.258064516129032</v>
      </c>
    </row>
    <row r="14" customFormat="false" ht="15" hidden="false" customHeight="false" outlineLevel="0" collapsed="false">
      <c r="A14" s="7" t="s">
        <v>136</v>
      </c>
      <c r="B14" s="7" t="s">
        <v>143</v>
      </c>
      <c r="C14" s="18" t="n">
        <f aca="false">SUM(D14:G14)</f>
        <v>22</v>
      </c>
      <c r="D14" s="23" t="n">
        <v>12</v>
      </c>
      <c r="E14" s="23" t="n">
        <v>6</v>
      </c>
      <c r="F14" s="23" t="n">
        <v>1</v>
      </c>
      <c r="G14" s="23" t="n">
        <v>3</v>
      </c>
      <c r="H14" s="24" t="n">
        <f aca="false">IF($C14=0,0,D14/$C14)</f>
        <v>0.545454545454545</v>
      </c>
      <c r="I14" s="24" t="n">
        <f aca="false">IF($C14=0,0,E14/$C14)</f>
        <v>0.272727272727273</v>
      </c>
      <c r="J14" s="24" t="n">
        <f aca="false">IF($C14=0,0,F14/$C14)</f>
        <v>0.0454545454545455</v>
      </c>
      <c r="K14" s="24" t="n">
        <f aca="false">IF($C14=0,0,G14/$C14)</f>
        <v>0.136363636363636</v>
      </c>
    </row>
    <row r="15" customFormat="false" ht="15" hidden="false" customHeight="false" outlineLevel="0" collapsed="false">
      <c r="A15" s="7" t="s">
        <v>136</v>
      </c>
      <c r="B15" s="7" t="s">
        <v>144</v>
      </c>
      <c r="C15" s="18" t="n">
        <f aca="false">SUM(D15:G15)</f>
        <v>27</v>
      </c>
      <c r="D15" s="23" t="n">
        <v>6</v>
      </c>
      <c r="E15" s="23" t="n">
        <v>5</v>
      </c>
      <c r="F15" s="23" t="n">
        <v>9</v>
      </c>
      <c r="G15" s="23" t="n">
        <v>7</v>
      </c>
      <c r="H15" s="24" t="n">
        <f aca="false">IF($C15=0,0,D15/$C15)</f>
        <v>0.222222222222222</v>
      </c>
      <c r="I15" s="24" t="n">
        <f aca="false">IF($C15=0,0,E15/$C15)</f>
        <v>0.185185185185185</v>
      </c>
      <c r="J15" s="24" t="n">
        <f aca="false">IF($C15=0,0,F15/$C15)</f>
        <v>0.333333333333333</v>
      </c>
      <c r="K15" s="24" t="n">
        <f aca="false">IF($C15=0,0,G15/$C15)</f>
        <v>0.259259259259259</v>
      </c>
    </row>
    <row r="16" customFormat="false" ht="15" hidden="false" customHeight="false" outlineLevel="0" collapsed="false">
      <c r="A16" s="7" t="s">
        <v>137</v>
      </c>
      <c r="B16" s="7" t="s">
        <v>143</v>
      </c>
      <c r="C16" s="18" t="n">
        <f aca="false">SUM(D16:G16)</f>
        <v>7</v>
      </c>
      <c r="D16" s="23" t="n">
        <v>1</v>
      </c>
      <c r="E16" s="23" t="n">
        <v>2</v>
      </c>
      <c r="F16" s="23" t="n">
        <v>4</v>
      </c>
      <c r="G16" s="23" t="n">
        <v>0</v>
      </c>
      <c r="H16" s="24" t="n">
        <f aca="false">IF($C16=0,0,D16/$C16)</f>
        <v>0.142857142857143</v>
      </c>
      <c r="I16" s="24" t="n">
        <f aca="false">IF($C16=0,0,E16/$C16)</f>
        <v>0.285714285714286</v>
      </c>
      <c r="J16" s="24" t="n">
        <f aca="false">IF($C16=0,0,F16/$C16)</f>
        <v>0.571428571428571</v>
      </c>
      <c r="K16" s="24" t="n">
        <f aca="false">IF($C16=0,0,G16/$C16)</f>
        <v>0</v>
      </c>
    </row>
    <row r="17" customFormat="false" ht="15" hidden="false" customHeight="false" outlineLevel="0" collapsed="false">
      <c r="A17" s="7" t="s">
        <v>137</v>
      </c>
      <c r="B17" s="7" t="s">
        <v>144</v>
      </c>
      <c r="C17" s="18" t="n">
        <f aca="false">SUM(D17:G17)</f>
        <v>33</v>
      </c>
      <c r="D17" s="23" t="n">
        <v>6</v>
      </c>
      <c r="E17" s="23" t="n">
        <v>15</v>
      </c>
      <c r="F17" s="23" t="n">
        <v>9</v>
      </c>
      <c r="G17" s="23" t="n">
        <v>3</v>
      </c>
      <c r="H17" s="24" t="n">
        <f aca="false">IF($C17=0,0,D17/$C17)</f>
        <v>0.181818181818182</v>
      </c>
      <c r="I17" s="24" t="n">
        <f aca="false">IF($C17=0,0,E17/$C17)</f>
        <v>0.454545454545455</v>
      </c>
      <c r="J17" s="24" t="n">
        <f aca="false">IF($C17=0,0,F17/$C17)</f>
        <v>0.272727272727273</v>
      </c>
      <c r="K17" s="24" t="n">
        <f aca="false">IF($C17=0,0,G17/$C17)</f>
        <v>0.0909090909090909</v>
      </c>
    </row>
    <row r="18" customFormat="false" ht="15" hidden="false" customHeight="false" outlineLevel="0" collapsed="false">
      <c r="A18" s="7" t="s">
        <v>138</v>
      </c>
      <c r="B18" s="7" t="s">
        <v>143</v>
      </c>
      <c r="C18" s="18" t="n">
        <f aca="false">SUM(D18:G18)</f>
        <v>11</v>
      </c>
      <c r="D18" s="23" t="n">
        <v>8</v>
      </c>
      <c r="E18" s="23" t="n">
        <v>2</v>
      </c>
      <c r="F18" s="23" t="n">
        <v>1</v>
      </c>
      <c r="G18" s="23" t="n">
        <v>0</v>
      </c>
      <c r="H18" s="24" t="n">
        <f aca="false">IF($C18=0,0,D18/$C18)</f>
        <v>0.727272727272727</v>
      </c>
      <c r="I18" s="24" t="n">
        <f aca="false">IF($C18=0,0,E18/$C18)</f>
        <v>0.181818181818182</v>
      </c>
      <c r="J18" s="24" t="n">
        <f aca="false">IF($C18=0,0,F18/$C18)</f>
        <v>0.0909090909090909</v>
      </c>
      <c r="K18" s="24" t="n">
        <f aca="false">IF($C18=0,0,G18/$C18)</f>
        <v>0</v>
      </c>
    </row>
    <row r="19" customFormat="false" ht="15" hidden="false" customHeight="false" outlineLevel="0" collapsed="false">
      <c r="A19" s="7" t="s">
        <v>138</v>
      </c>
      <c r="B19" s="7" t="s">
        <v>144</v>
      </c>
      <c r="C19" s="18" t="n">
        <f aca="false">SUM(D19:G19)</f>
        <v>38</v>
      </c>
      <c r="D19" s="23" t="n">
        <v>16</v>
      </c>
      <c r="E19" s="23" t="n">
        <v>12</v>
      </c>
      <c r="F19" s="23" t="n">
        <v>4</v>
      </c>
      <c r="G19" s="23" t="n">
        <v>6</v>
      </c>
      <c r="H19" s="24" t="n">
        <f aca="false">IF($C19=0,0,D19/$C19)</f>
        <v>0.421052631578947</v>
      </c>
      <c r="I19" s="24" t="n">
        <f aca="false">IF($C19=0,0,E19/$C19)</f>
        <v>0.315789473684211</v>
      </c>
      <c r="J19" s="24" t="n">
        <f aca="false">IF($C19=0,0,F19/$C19)</f>
        <v>0.105263157894737</v>
      </c>
      <c r="K19" s="24" t="n">
        <f aca="false">IF($C19=0,0,G19/$C19)</f>
        <v>0.157894736842105</v>
      </c>
    </row>
    <row r="20" customFormat="false" ht="15" hidden="false" customHeight="false" outlineLevel="0" collapsed="false">
      <c r="A20" s="6" t="s">
        <v>169</v>
      </c>
      <c r="B20" s="6" t="s">
        <v>143</v>
      </c>
      <c r="C20" s="25" t="n">
        <f aca="false">SUMIF($B$10:$B$19,$B20,C$10:C$19)</f>
        <v>58</v>
      </c>
      <c r="D20" s="25" t="n">
        <f aca="false">SUMIF($B$10:$B$19,$B20,D$10:D$19)</f>
        <v>24</v>
      </c>
      <c r="E20" s="25" t="n">
        <f aca="false">SUMIF($B$10:$B$19,$B20,E$10:E$19)</f>
        <v>18</v>
      </c>
      <c r="F20" s="25" t="n">
        <f aca="false">SUMIF($B$10:$B$19,$B20,F$10:F$19)</f>
        <v>13</v>
      </c>
      <c r="G20" s="25" t="n">
        <f aca="false">SUMIF($B$10:$B$19,$B20,G$10:G$19)</f>
        <v>3</v>
      </c>
      <c r="H20" s="26" t="n">
        <f aca="false">IF($C20=0,0,D20/$C20)</f>
        <v>0.413793103448276</v>
      </c>
      <c r="I20" s="26" t="n">
        <f aca="false">IF($C20=0,0,E20/$C20)</f>
        <v>0.310344827586207</v>
      </c>
      <c r="J20" s="26" t="n">
        <f aca="false">IF($C20=0,0,F20/$C20)</f>
        <v>0.224137931034483</v>
      </c>
      <c r="K20" s="26" t="n">
        <f aca="false">IF($C20=0,0,G20/$C20)</f>
        <v>0.0517241379310345</v>
      </c>
    </row>
    <row r="21" customFormat="false" ht="15" hidden="false" customHeight="false" outlineLevel="0" collapsed="false">
      <c r="A21" s="6" t="s">
        <v>169</v>
      </c>
      <c r="B21" s="6" t="s">
        <v>144</v>
      </c>
      <c r="C21" s="25" t="n">
        <f aca="false">SUMIF($B$10:$B$19,$B21,C$10:C$19)</f>
        <v>189</v>
      </c>
      <c r="D21" s="25" t="n">
        <f aca="false">SUMIF($B$10:$B$19,$B21,D$10:D$19)</f>
        <v>39</v>
      </c>
      <c r="E21" s="25" t="n">
        <f aca="false">SUMIF($B$10:$B$19,$B21,E$10:E$19)</f>
        <v>70</v>
      </c>
      <c r="F21" s="25" t="n">
        <f aca="false">SUMIF($B$10:$B$19,$B21,F$10:F$19)</f>
        <v>53</v>
      </c>
      <c r="G21" s="25" t="n">
        <f aca="false">SUMIF($B$10:$B$19,$B21,G$10:G$19)</f>
        <v>27</v>
      </c>
      <c r="H21" s="26" t="n">
        <f aca="false">IF($C21=0,0,D21/$C21)</f>
        <v>0.206349206349206</v>
      </c>
      <c r="I21" s="26" t="n">
        <f aca="false">IF($C21=0,0,E21/$C21)</f>
        <v>0.37037037037037</v>
      </c>
      <c r="J21" s="26" t="n">
        <f aca="false">IF($C21=0,0,F21/$C21)</f>
        <v>0.28042328042328</v>
      </c>
      <c r="K21" s="26" t="n">
        <f aca="false">IF($C21=0,0,G21/$C21)</f>
        <v>0.142857142857143</v>
      </c>
    </row>
    <row r="22" customFormat="false" ht="15" hidden="false" customHeight="false" outlineLevel="0" collapsed="false">
      <c r="A22" s="6" t="s">
        <v>170</v>
      </c>
      <c r="B22" s="6"/>
      <c r="C22" s="25" t="n">
        <f aca="false">C20+C21</f>
        <v>247</v>
      </c>
      <c r="D22" s="25" t="n">
        <f aca="false">D20+D21</f>
        <v>63</v>
      </c>
      <c r="E22" s="25" t="n">
        <f aca="false">E20+E21</f>
        <v>88</v>
      </c>
      <c r="F22" s="25" t="n">
        <f aca="false">F20+F21</f>
        <v>66</v>
      </c>
      <c r="G22" s="25" t="n">
        <f aca="false">G20+G21</f>
        <v>30</v>
      </c>
      <c r="H22" s="26" t="n">
        <f aca="false">IF($C22=0,0,D22/$C22)</f>
        <v>0.255060728744939</v>
      </c>
      <c r="I22" s="26" t="n">
        <f aca="false">IF($C22=0,0,E22/$C22)</f>
        <v>0.356275303643725</v>
      </c>
      <c r="J22" s="26" t="n">
        <f aca="false">IF($C22=0,0,F22/$C22)</f>
        <v>0.267206477732794</v>
      </c>
      <c r="K22" s="26" t="n">
        <f aca="false">IF($C22=0,0,G22/$C22)</f>
        <v>0.121457489878543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4" t="s">
        <v>171</v>
      </c>
    </row>
    <row r="2" customFormat="false" ht="15" hidden="false" customHeight="false" outlineLevel="0" collapsed="false">
      <c r="A2" s="10" t="s">
        <v>172</v>
      </c>
    </row>
    <row r="4" customFormat="false" ht="42" hidden="false" customHeight="true" outlineLevel="0" collapsed="false">
      <c r="A4" s="5" t="s">
        <v>125</v>
      </c>
      <c r="B4" s="5" t="s">
        <v>145</v>
      </c>
      <c r="C4" s="5" t="s">
        <v>173</v>
      </c>
      <c r="D4" s="5" t="s">
        <v>174</v>
      </c>
      <c r="E4" s="5" t="s">
        <v>175</v>
      </c>
      <c r="F4" s="5" t="s">
        <v>176</v>
      </c>
      <c r="G4" s="5" t="s">
        <v>177</v>
      </c>
      <c r="H4" s="5" t="s">
        <v>178</v>
      </c>
    </row>
    <row r="5" customFormat="false" ht="15" hidden="false" customHeight="false" outlineLevel="0" collapsed="false">
      <c r="A5" s="7" t="s">
        <v>134</v>
      </c>
      <c r="B5" s="18" t="n">
        <f aca="false">SUM(C5:E5)</f>
        <v>70</v>
      </c>
      <c r="C5" s="23" t="n">
        <v>22</v>
      </c>
      <c r="D5" s="23" t="n">
        <v>30</v>
      </c>
      <c r="E5" s="23" t="n">
        <v>18</v>
      </c>
      <c r="F5" s="24" t="n">
        <f aca="false">IF(B5=0,0,(C5+D5)/B5)</f>
        <v>0.742857142857143</v>
      </c>
      <c r="G5" s="23" t="n">
        <v>9</v>
      </c>
      <c r="H5" s="24" t="n">
        <f aca="false">IF(C5+D5=0,0,G5/(C5+D5))</f>
        <v>0.173076923076923</v>
      </c>
    </row>
    <row r="6" customFormat="false" ht="15" hidden="false" customHeight="false" outlineLevel="0" collapsed="false">
      <c r="A6" s="7" t="s">
        <v>135</v>
      </c>
      <c r="B6" s="18" t="n">
        <f aca="false">SUM(C6:E6)</f>
        <v>39</v>
      </c>
      <c r="C6" s="23" t="n">
        <v>9</v>
      </c>
      <c r="D6" s="23" t="n">
        <v>14</v>
      </c>
      <c r="E6" s="23" t="n">
        <v>16</v>
      </c>
      <c r="F6" s="24" t="n">
        <f aca="false">IF(B6=0,0,(C6+D6)/B6)</f>
        <v>0.58974358974359</v>
      </c>
      <c r="G6" s="23" t="n">
        <v>6</v>
      </c>
      <c r="H6" s="24" t="n">
        <f aca="false">IF(C6+D6=0,0,G6/(C6+D6))</f>
        <v>0.260869565217391</v>
      </c>
    </row>
    <row r="7" customFormat="false" ht="15" hidden="false" customHeight="false" outlineLevel="0" collapsed="false">
      <c r="A7" s="7" t="s">
        <v>136</v>
      </c>
      <c r="B7" s="18" t="n">
        <f aca="false">SUM(C7:E7)</f>
        <v>49</v>
      </c>
      <c r="C7" s="23" t="n">
        <v>14</v>
      </c>
      <c r="D7" s="23" t="n">
        <v>15</v>
      </c>
      <c r="E7" s="23" t="n">
        <v>20</v>
      </c>
      <c r="F7" s="24" t="n">
        <f aca="false">IF(B7=0,0,(C7+D7)/B7)</f>
        <v>0.591836734693878</v>
      </c>
      <c r="G7" s="23" t="n">
        <v>11</v>
      </c>
      <c r="H7" s="24" t="n">
        <f aca="false">IF(C7+D7=0,0,G7/(C7+D7))</f>
        <v>0.379310344827586</v>
      </c>
    </row>
    <row r="8" customFormat="false" ht="15" hidden="false" customHeight="false" outlineLevel="0" collapsed="false">
      <c r="A8" s="7" t="s">
        <v>137</v>
      </c>
      <c r="B8" s="18" t="n">
        <f aca="false">SUM(C8:E8)</f>
        <v>40</v>
      </c>
      <c r="C8" s="23" t="n">
        <v>5</v>
      </c>
      <c r="D8" s="23" t="n">
        <v>11</v>
      </c>
      <c r="E8" s="23" t="n">
        <v>24</v>
      </c>
      <c r="F8" s="24" t="n">
        <f aca="false">IF(B8=0,0,(C8+D8)/B8)</f>
        <v>0.4</v>
      </c>
      <c r="G8" s="23" t="n">
        <v>2</v>
      </c>
      <c r="H8" s="24" t="n">
        <f aca="false">IF(C8+D8=0,0,G8/(C8+D8))</f>
        <v>0.125</v>
      </c>
    </row>
    <row r="9" customFormat="false" ht="15" hidden="false" customHeight="false" outlineLevel="0" collapsed="false">
      <c r="A9" s="7" t="s">
        <v>138</v>
      </c>
      <c r="B9" s="18" t="n">
        <f aca="false">SUM(C9:E9)</f>
        <v>49</v>
      </c>
      <c r="C9" s="23" t="n">
        <v>13</v>
      </c>
      <c r="D9" s="23" t="n">
        <v>17</v>
      </c>
      <c r="E9" s="23" t="n">
        <v>19</v>
      </c>
      <c r="F9" s="24" t="n">
        <f aca="false">IF(B9=0,0,(C9+D9)/B9)</f>
        <v>0.612244897959184</v>
      </c>
      <c r="G9" s="23" t="n">
        <v>8</v>
      </c>
      <c r="H9" s="24" t="n">
        <f aca="false">IF(C9+D9=0,0,G9/(C9+D9))</f>
        <v>0.266666666666667</v>
      </c>
    </row>
    <row r="10" customFormat="false" ht="15" hidden="false" customHeight="false" outlineLevel="0" collapsed="false">
      <c r="A10" s="6" t="s">
        <v>139</v>
      </c>
      <c r="B10" s="25" t="n">
        <f aca="false">SUM(B5:B9)</f>
        <v>247</v>
      </c>
      <c r="C10" s="25" t="n">
        <f aca="false">SUM(C5:C9)</f>
        <v>63</v>
      </c>
      <c r="D10" s="25" t="n">
        <f aca="false">SUM(D5:D9)</f>
        <v>87</v>
      </c>
      <c r="E10" s="25" t="n">
        <f aca="false">SUM(E5:E9)</f>
        <v>97</v>
      </c>
      <c r="F10" s="26" t="n">
        <f aca="false">IF(B10=0,0,(C10+D10)/B10)</f>
        <v>0.607287449392713</v>
      </c>
      <c r="G10" s="25" t="n">
        <f aca="false">SUM(G5:G9)</f>
        <v>36</v>
      </c>
      <c r="H10" s="26" t="n">
        <f aca="false">IF(C10+D10=0,0,G10/(C10+D10))</f>
        <v>0.24</v>
      </c>
    </row>
    <row r="12" customFormat="false" ht="15" hidden="false" customHeight="false" outlineLevel="0" collapsed="false">
      <c r="A12" s="10" t="s">
        <v>179</v>
      </c>
    </row>
    <row r="13" customFormat="false" ht="23.85" hidden="false" customHeight="false" outlineLevel="0" collapsed="false">
      <c r="A13" s="5" t="s">
        <v>125</v>
      </c>
      <c r="B13" s="5" t="s">
        <v>180</v>
      </c>
      <c r="C13" s="5" t="s">
        <v>181</v>
      </c>
    </row>
    <row r="14" customFormat="false" ht="15" hidden="false" customHeight="false" outlineLevel="0" collapsed="false">
      <c r="A14" s="7" t="str">
        <f aca="false">A5</f>
        <v>Marketplace e e-commerce</v>
      </c>
      <c r="B14" s="18" t="n">
        <f aca="false">Participação!H5</f>
        <v>70</v>
      </c>
      <c r="C14" s="11" t="str">
        <f aca="false">IF(B14=B5,"Sim","Não")</f>
        <v>Sim</v>
      </c>
    </row>
    <row r="15" customFormat="false" ht="15" hidden="false" customHeight="false" outlineLevel="0" collapsed="false">
      <c r="A15" s="7" t="str">
        <f aca="false">A6</f>
        <v>Logística</v>
      </c>
      <c r="B15" s="18" t="n">
        <f aca="false">Participação!H6</f>
        <v>39</v>
      </c>
      <c r="C15" s="11" t="str">
        <f aca="false">IF(B15=B6,"Sim","Não")</f>
        <v>Sim</v>
      </c>
    </row>
    <row r="16" customFormat="false" ht="15" hidden="false" customHeight="false" outlineLevel="0" collapsed="false">
      <c r="A16" s="7" t="str">
        <f aca="false">A7</f>
        <v>Lojas físicas</v>
      </c>
      <c r="B16" s="18" t="n">
        <f aca="false">Participação!H7</f>
        <v>49</v>
      </c>
      <c r="C16" s="11" t="str">
        <f aca="false">IF(B16=B7,"Sim","Não")</f>
        <v>Sim</v>
      </c>
    </row>
    <row r="17" customFormat="false" ht="15" hidden="false" customHeight="false" outlineLevel="0" collapsed="false">
      <c r="A17" s="7" t="str">
        <f aca="false">A8</f>
        <v>Serviços financeiros</v>
      </c>
      <c r="B17" s="18" t="n">
        <f aca="false">Participação!H8</f>
        <v>40</v>
      </c>
      <c r="C17" s="11" t="str">
        <f aca="false">IF(B17=B8,"Sim","Não")</f>
        <v>Sim</v>
      </c>
    </row>
    <row r="18" customFormat="false" ht="15" hidden="false" customHeight="false" outlineLevel="0" collapsed="false">
      <c r="A18" s="7" t="str">
        <f aca="false">A9</f>
        <v>Corporativo</v>
      </c>
      <c r="B18" s="18" t="n">
        <f aca="false">Participação!H9</f>
        <v>49</v>
      </c>
      <c r="C18" s="11" t="str">
        <f aca="false">IF(B18=B9,"Sim","Não")</f>
        <v>Sim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4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4" t="s">
        <v>182</v>
      </c>
    </row>
    <row r="2" customFormat="false" ht="15" hidden="false" customHeight="false" outlineLevel="0" collapsed="false">
      <c r="A2" s="10" t="s">
        <v>183</v>
      </c>
    </row>
    <row r="4" customFormat="false" ht="15" hidden="false" customHeight="false" outlineLevel="0" collapsed="false">
      <c r="A4" s="5" t="s">
        <v>184</v>
      </c>
      <c r="B4" s="5" t="s">
        <v>125</v>
      </c>
      <c r="C4" s="5" t="s">
        <v>185</v>
      </c>
      <c r="D4" s="5" t="s">
        <v>186</v>
      </c>
    </row>
    <row r="5" customFormat="false" ht="23.85" hidden="false" customHeight="false" outlineLevel="0" collapsed="false">
      <c r="A5" s="11" t="n">
        <v>1</v>
      </c>
      <c r="B5" s="7" t="s">
        <v>134</v>
      </c>
      <c r="C5" s="7" t="s">
        <v>187</v>
      </c>
      <c r="D5" s="7" t="s">
        <v>188</v>
      </c>
    </row>
    <row r="6" customFormat="false" ht="23.85" hidden="false" customHeight="false" outlineLevel="0" collapsed="false">
      <c r="A6" s="11" t="n">
        <v>2</v>
      </c>
      <c r="B6" s="7" t="s">
        <v>134</v>
      </c>
      <c r="C6" s="7" t="s">
        <v>189</v>
      </c>
      <c r="D6" s="7" t="s">
        <v>190</v>
      </c>
    </row>
    <row r="7" customFormat="false" ht="23.85" hidden="false" customHeight="false" outlineLevel="0" collapsed="false">
      <c r="A7" s="11" t="n">
        <v>3</v>
      </c>
      <c r="B7" s="7" t="s">
        <v>134</v>
      </c>
      <c r="C7" s="7" t="s">
        <v>191</v>
      </c>
      <c r="D7" s="7" t="s">
        <v>192</v>
      </c>
    </row>
    <row r="8" customFormat="false" ht="23.85" hidden="false" customHeight="false" outlineLevel="0" collapsed="false">
      <c r="A8" s="11" t="n">
        <v>4</v>
      </c>
      <c r="B8" s="7" t="s">
        <v>135</v>
      </c>
      <c r="C8" s="7" t="s">
        <v>193</v>
      </c>
      <c r="D8" s="7" t="s">
        <v>194</v>
      </c>
    </row>
    <row r="9" customFormat="false" ht="23.85" hidden="false" customHeight="false" outlineLevel="0" collapsed="false">
      <c r="A9" s="11" t="n">
        <v>5</v>
      </c>
      <c r="B9" s="7" t="s">
        <v>135</v>
      </c>
      <c r="C9" s="7" t="s">
        <v>195</v>
      </c>
      <c r="D9" s="7" t="s">
        <v>196</v>
      </c>
    </row>
    <row r="10" customFormat="false" ht="23.85" hidden="false" customHeight="false" outlineLevel="0" collapsed="false">
      <c r="A10" s="11" t="n">
        <v>6</v>
      </c>
      <c r="B10" s="7" t="s">
        <v>136</v>
      </c>
      <c r="C10" s="7" t="s">
        <v>197</v>
      </c>
      <c r="D10" s="7" t="s">
        <v>198</v>
      </c>
    </row>
    <row r="11" customFormat="false" ht="23.85" hidden="false" customHeight="false" outlineLevel="0" collapsed="false">
      <c r="A11" s="11" t="n">
        <v>7</v>
      </c>
      <c r="B11" s="7" t="s">
        <v>136</v>
      </c>
      <c r="C11" s="7" t="s">
        <v>199</v>
      </c>
      <c r="D11" s="7" t="s">
        <v>200</v>
      </c>
    </row>
    <row r="12" customFormat="false" ht="15" hidden="false" customHeight="false" outlineLevel="0" collapsed="false">
      <c r="A12" s="11" t="n">
        <v>8</v>
      </c>
      <c r="B12" s="7" t="s">
        <v>136</v>
      </c>
      <c r="C12" s="7" t="s">
        <v>201</v>
      </c>
      <c r="D12" s="7" t="s">
        <v>202</v>
      </c>
    </row>
    <row r="13" customFormat="false" ht="23.85" hidden="false" customHeight="false" outlineLevel="0" collapsed="false">
      <c r="A13" s="11" t="n">
        <v>9</v>
      </c>
      <c r="B13" s="7" t="s">
        <v>137</v>
      </c>
      <c r="C13" s="7" t="s">
        <v>203</v>
      </c>
      <c r="D13" s="7" t="s">
        <v>204</v>
      </c>
    </row>
    <row r="14" customFormat="false" ht="23.85" hidden="false" customHeight="false" outlineLevel="0" collapsed="false">
      <c r="A14" s="11" t="n">
        <v>10</v>
      </c>
      <c r="B14" s="7" t="s">
        <v>138</v>
      </c>
      <c r="C14" s="7" t="s">
        <v>205</v>
      </c>
      <c r="D14" s="7" t="s">
        <v>206</v>
      </c>
    </row>
    <row r="15" customFormat="false" ht="23.85" hidden="false" customHeight="false" outlineLevel="0" collapsed="false">
      <c r="A15" s="11" t="n">
        <v>11</v>
      </c>
      <c r="B15" s="7" t="s">
        <v>138</v>
      </c>
      <c r="C15" s="7" t="s">
        <v>207</v>
      </c>
      <c r="D15" s="7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2026-10-07T18:03:24Z</dcterms:created>
  <dc:creator>openpyxl</dc:creator>
  <dc:description/>
  <dc:language>en-US</dc:language>
  <cp:lastModifiedBy/>
  <dcterms:modified xsi:type="dcterms:W3CDTF">2026-10-07T15:03:27Z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